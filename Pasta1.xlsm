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awamura\Documents\"/>
    </mc:Choice>
  </mc:AlternateContent>
  <xr:revisionPtr revIDLastSave="0" documentId="13_ncr:1_{22645467-2D7B-48D0-9295-AE22A83C2F0F}" xr6:coauthVersionLast="47" xr6:coauthVersionMax="47" xr10:uidLastSave="{00000000-0000-0000-0000-000000000000}"/>
  <bookViews>
    <workbookView xWindow="-120" yWindow="-120" windowWidth="20640" windowHeight="11310" xr2:uid="{4FA8009D-4B34-4EDE-939D-958B9FCF02A6}"/>
  </bookViews>
  <sheets>
    <sheet name="Adicionar Controle" sheetId="7" r:id="rId1"/>
    <sheet name="A receber" sheetId="9" state="hidden" r:id="rId2"/>
    <sheet name="Calcular Receitas" sheetId="1" r:id="rId3"/>
    <sheet name="Material" sheetId="2" r:id="rId4"/>
    <sheet name="Receita" sheetId="4" r:id="rId5"/>
    <sheet name="Produto" sheetId="6" r:id="rId6"/>
    <sheet name="Controle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7" l="1"/>
  <c r="J7" i="7"/>
  <c r="I9" i="7"/>
  <c r="J9" i="7"/>
  <c r="L6" i="1"/>
  <c r="L7" i="1"/>
  <c r="L8" i="1"/>
  <c r="L9" i="1"/>
  <c r="L10" i="1"/>
  <c r="L11" i="1"/>
  <c r="L12" i="1"/>
  <c r="L13" i="1"/>
  <c r="L14" i="1"/>
  <c r="L15" i="1"/>
  <c r="L5" i="1"/>
  <c r="H6" i="1"/>
  <c r="H7" i="1"/>
  <c r="H8" i="1"/>
  <c r="H9" i="1"/>
  <c r="H10" i="1"/>
  <c r="H11" i="1"/>
  <c r="H12" i="1"/>
  <c r="H13" i="1"/>
  <c r="H14" i="1"/>
  <c r="H15" i="1"/>
  <c r="H5" i="1"/>
  <c r="D5" i="7"/>
  <c r="D15" i="1"/>
  <c r="C17" i="1" s="1"/>
  <c r="L16" i="1" l="1"/>
  <c r="L17" i="1" s="1"/>
  <c r="H16" i="1"/>
  <c r="H17" i="1" s="1"/>
</calcChain>
</file>

<file path=xl/sharedStrings.xml><?xml version="1.0" encoding="utf-8"?>
<sst xmlns="http://schemas.openxmlformats.org/spreadsheetml/2006/main" count="166" uniqueCount="136">
  <si>
    <t>Quantidade</t>
  </si>
  <si>
    <t>Valor</t>
  </si>
  <si>
    <t>Ingrediente</t>
  </si>
  <si>
    <t>Total</t>
  </si>
  <si>
    <t>Nome da Receita:</t>
  </si>
  <si>
    <t>Nome do Produto:</t>
  </si>
  <si>
    <t>Receitas</t>
  </si>
  <si>
    <t>ADICIONAR MATERIAL</t>
  </si>
  <si>
    <t>Material</t>
  </si>
  <si>
    <t>ADICIONAR RECEITA</t>
  </si>
  <si>
    <t>ADICIONAR PRODUTO</t>
  </si>
  <si>
    <t>Taxa</t>
  </si>
  <si>
    <t>Receita</t>
  </si>
  <si>
    <t>Produto</t>
  </si>
  <si>
    <t>Custo</t>
  </si>
  <si>
    <t>Lucro</t>
  </si>
  <si>
    <t>Valor de Venda</t>
  </si>
  <si>
    <t>VERIFICAR VALOR</t>
  </si>
  <si>
    <t>Adicionar Produção</t>
  </si>
  <si>
    <t>Visualizar Semana</t>
  </si>
  <si>
    <t>Quantidade de Produtos Produzidos</t>
  </si>
  <si>
    <t>Custo Total</t>
  </si>
  <si>
    <t>Quantidade de Produtos Vendidos</t>
  </si>
  <si>
    <t>Lucro Total</t>
  </si>
  <si>
    <t>Adicionar Venda</t>
  </si>
  <si>
    <t>Maracuja</t>
  </si>
  <si>
    <t>Creme de Leite</t>
  </si>
  <si>
    <t>Semana</t>
  </si>
  <si>
    <t>Valor de Venda Unitário</t>
  </si>
  <si>
    <t>Valor Un</t>
  </si>
  <si>
    <t>Qnt Prod</t>
  </si>
  <si>
    <t>Qntd Vend</t>
  </si>
  <si>
    <t>Leite Condensado de ponto</t>
  </si>
  <si>
    <t>Leite de Coco</t>
  </si>
  <si>
    <t>Mousse Oreo</t>
  </si>
  <si>
    <t>Leite</t>
  </si>
  <si>
    <t>Chantilly</t>
  </si>
  <si>
    <t>Manteiga</t>
  </si>
  <si>
    <t>Doce de Leite</t>
  </si>
  <si>
    <t>Fermento quimico</t>
  </si>
  <si>
    <t>Fermento biológico</t>
  </si>
  <si>
    <t>Essência de baunilha</t>
  </si>
  <si>
    <t>Canela em pó</t>
  </si>
  <si>
    <t>Chocolate em pó 50%</t>
  </si>
  <si>
    <t>Chocolate em pó 100%</t>
  </si>
  <si>
    <t>Brownie</t>
  </si>
  <si>
    <t>pão de ló</t>
  </si>
  <si>
    <t>pão de ló chocolate</t>
  </si>
  <si>
    <t>margarina sem sal</t>
  </si>
  <si>
    <t>Chocolate meio amargo</t>
  </si>
  <si>
    <t>Gelatina sem sabor</t>
  </si>
  <si>
    <t>Gelatina saborizada</t>
  </si>
  <si>
    <t>Coco ralado</t>
  </si>
  <si>
    <t>Leite em pó</t>
  </si>
  <si>
    <t>mousse rafaelo</t>
  </si>
  <si>
    <t>chocolate branco</t>
  </si>
  <si>
    <t>amendoas</t>
  </si>
  <si>
    <t>Açucar</t>
  </si>
  <si>
    <t>Farinha de trigo</t>
  </si>
  <si>
    <t>Bolacha Maizena</t>
  </si>
  <si>
    <t>Biscoito leite</t>
  </si>
  <si>
    <t>Biscoito Calypso</t>
  </si>
  <si>
    <t>Emulsificante</t>
  </si>
  <si>
    <t>Creme de avelã</t>
  </si>
  <si>
    <t>Ovos</t>
  </si>
  <si>
    <t>Oleo</t>
  </si>
  <si>
    <t>Cheiro Verde</t>
  </si>
  <si>
    <t>Alho</t>
  </si>
  <si>
    <t>Cebola</t>
  </si>
  <si>
    <t>Frango c/ osso</t>
  </si>
  <si>
    <t>Molho de tomate</t>
  </si>
  <si>
    <t>Sal</t>
  </si>
  <si>
    <t>Requeijão</t>
  </si>
  <si>
    <t>Milho</t>
  </si>
  <si>
    <t>Palmito</t>
  </si>
  <si>
    <t>Sazon</t>
  </si>
  <si>
    <t>Calabresa</t>
  </si>
  <si>
    <t>Limão</t>
  </si>
  <si>
    <t>Amido de milho</t>
  </si>
  <si>
    <t>Ameixa em calda</t>
  </si>
  <si>
    <t>Café Soluvel</t>
  </si>
  <si>
    <t>Achocolatado</t>
  </si>
  <si>
    <t>Canjica</t>
  </si>
  <si>
    <t>Massa Chocolate</t>
  </si>
  <si>
    <t>Mousse danette</t>
  </si>
  <si>
    <t>Mousse ninho</t>
  </si>
  <si>
    <t>Creme confeitero</t>
  </si>
  <si>
    <t>Uva</t>
  </si>
  <si>
    <t>Morango</t>
  </si>
  <si>
    <t>Mussarela</t>
  </si>
  <si>
    <t>Banana</t>
  </si>
  <si>
    <t>pacoca</t>
  </si>
  <si>
    <t>biscoito oreo</t>
  </si>
  <si>
    <t>mini oreo</t>
  </si>
  <si>
    <t>salsicha aurora</t>
  </si>
  <si>
    <t>mostarda</t>
  </si>
  <si>
    <t>ketchup</t>
  </si>
  <si>
    <t>maionese</t>
  </si>
  <si>
    <t>batata palha</t>
  </si>
  <si>
    <t xml:space="preserve">leite ninho </t>
  </si>
  <si>
    <t>amendoim</t>
  </si>
  <si>
    <t>pimentao amarelo</t>
  </si>
  <si>
    <t>pimentao vermelho</t>
  </si>
  <si>
    <t>molho de tomate</t>
  </si>
  <si>
    <t>batata normal</t>
  </si>
  <si>
    <t>bombom rafaelo</t>
  </si>
  <si>
    <t>Creme 4 Leites</t>
  </si>
  <si>
    <t>Mousse Rafaelo</t>
  </si>
  <si>
    <t>Granulado</t>
  </si>
  <si>
    <t>Acem</t>
  </si>
  <si>
    <t>Pernil</t>
  </si>
  <si>
    <t>Recheio de pernil</t>
  </si>
  <si>
    <t>Carne louca</t>
  </si>
  <si>
    <t>Pão</t>
  </si>
  <si>
    <t>Pão hot Dog</t>
  </si>
  <si>
    <t>Pure de batata</t>
  </si>
  <si>
    <t>Nutella</t>
  </si>
  <si>
    <t>Massa Bolo Churros</t>
  </si>
  <si>
    <t>Nozes</t>
  </si>
  <si>
    <t>Laranja</t>
  </si>
  <si>
    <t>Banana caramelada</t>
  </si>
  <si>
    <t>Sensação de maracuja</t>
  </si>
  <si>
    <t>Embalagem Brownie</t>
  </si>
  <si>
    <t>Embalagem lanche</t>
  </si>
  <si>
    <t>Copo termico</t>
  </si>
  <si>
    <t>Brownie Grande</t>
  </si>
  <si>
    <t>Emb. Redonda p/ torta</t>
  </si>
  <si>
    <t>Bem. Quadrada c/ tampa separada</t>
  </si>
  <si>
    <t>Forminhas de Brigadeiro</t>
  </si>
  <si>
    <t>Em. Quadrada de bolo</t>
  </si>
  <si>
    <t>Mini copo bolha 150ml</t>
  </si>
  <si>
    <t>Emb. Quadrada c/ tampa junta</t>
  </si>
  <si>
    <t>Copo bolha 300</t>
  </si>
  <si>
    <t>Copinho tampa alta 110</t>
  </si>
  <si>
    <t/>
  </si>
  <si>
    <t>Geleia de Morango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</si>
</sst>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28"/>
      <color theme="1"/>
      <name val="Abadi"/>
      <family val="2"/>
    </font>
    <font>
      <sz val="11"/>
      <color theme="0"/>
      <name val="Abadi"/>
      <family val="2"/>
    </font>
    <font>
      <b/>
      <sz val="11"/>
      <name val="Calibri"/>
      <family val="2"/>
      <scheme val="minor"/>
    </font>
    <font>
      <sz val="14"/>
      <color theme="1"/>
      <name val="Abadi"/>
      <family val="2"/>
    </font>
    <font>
      <sz val="28"/>
      <color theme="9" tint="-0.249977111117893"/>
      <name val="Abadi"/>
      <family val="2"/>
    </font>
    <font>
      <sz val="28"/>
      <color theme="8" tint="-0.499984740745262"/>
      <name val="Abadi"/>
      <family val="2"/>
    </font>
    <font>
      <sz val="28"/>
      <color theme="7" tint="-0.499984740745262"/>
      <name val="Abadi"/>
      <family val="2"/>
    </font>
    <font>
      <sz val="28"/>
      <color theme="5" tint="-0.499984740745262"/>
      <name val="Abadi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 vertical="center"/>
    </xf>
    <xf numFmtId="0" fontId="0" fillId="0" borderId="0" xfId="0" applyBorder="1"/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4" fillId="2" borderId="1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2" fillId="0" borderId="0" xfId="0" applyNumberFormat="1" applyFont="1"/>
    <xf numFmtId="0" fontId="0" fillId="0" borderId="8" xfId="0" applyBorder="1"/>
    <xf numFmtId="0" fontId="2" fillId="5" borderId="1" xfId="0" applyFont="1" applyFill="1" applyBorder="1" applyAlignment="1">
      <alignment horizontal="center" vertical="center"/>
    </xf>
    <xf numFmtId="0" fontId="2" fillId="5" borderId="0" xfId="0" applyFont="1" applyFill="1"/>
    <xf numFmtId="0" fontId="2" fillId="6" borderId="1" xfId="0" applyFont="1" applyFill="1" applyBorder="1" applyAlignment="1">
      <alignment horizontal="center" vertical="center"/>
    </xf>
    <xf numFmtId="0" fontId="2" fillId="6" borderId="0" xfId="0" applyFont="1" applyFill="1"/>
    <xf numFmtId="0" fontId="2" fillId="7" borderId="1" xfId="0" applyFont="1" applyFill="1" applyBorder="1" applyAlignment="1">
      <alignment horizontal="center" vertical="center"/>
    </xf>
    <xf numFmtId="9" fontId="2" fillId="7" borderId="3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0" xfId="0" applyFont="1" applyFill="1"/>
    <xf numFmtId="0" fontId="2" fillId="8" borderId="1" xfId="0" applyFont="1" applyFill="1" applyBorder="1" applyAlignment="1">
      <alignment horizontal="center" vertical="center"/>
    </xf>
    <xf numFmtId="9" fontId="2" fillId="8" borderId="3" xfId="0" applyNumberFormat="1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0" xfId="0" applyFont="1" applyFill="1"/>
    <xf numFmtId="0" fontId="2" fillId="7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8" borderId="11" xfId="0" applyFont="1" applyFill="1" applyBorder="1" applyAlignment="1">
      <alignment vertical="center"/>
    </xf>
    <xf numFmtId="0" fontId="2" fillId="8" borderId="3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164" fontId="0" fillId="0" borderId="0" xfId="0" applyNumberFormat="1"/>
    <xf numFmtId="164" fontId="1" fillId="2" borderId="12" xfId="0" applyNumberFormat="1" applyFont="1" applyFill="1" applyBorder="1" applyAlignment="1">
      <alignment horizontal="center" vertical="center"/>
    </xf>
    <xf numFmtId="164" fontId="1" fillId="2" borderId="10" xfId="0" applyNumberFormat="1" applyFont="1" applyFill="1" applyBorder="1" applyAlignment="1">
      <alignment horizontal="center" vertical="center"/>
    </xf>
    <xf numFmtId="164" fontId="11" fillId="0" borderId="15" xfId="0" applyNumberFormat="1" applyFont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17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164" fontId="0" fillId="0" borderId="0" xfId="0" applyNumberFormat="1" applyBorder="1"/>
    <xf numFmtId="164" fontId="1" fillId="2" borderId="9" xfId="0" applyNumberFormat="1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14" fontId="2" fillId="7" borderId="3" xfId="0" applyNumberFormat="1" applyFont="1" applyFill="1" applyBorder="1" applyAlignment="1">
      <alignment vertical="center"/>
    </xf>
    <xf numFmtId="0" fontId="2" fillId="7" borderId="1" xfId="0" applyNumberFormat="1" applyFon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49" fontId="2" fillId="7" borderId="11" xfId="0" applyNumberFormat="1" applyFont="1" applyFill="1" applyBorder="1" applyAlignment="1">
      <alignment vertical="center"/>
    </xf>
    <xf numFmtId="49" fontId="0" fillId="0" borderId="0" xfId="0" applyNumberFormat="1"/>
    <xf numFmtId="49" fontId="1" fillId="2" borderId="9" xfId="0" applyNumberFormat="1" applyFont="1" applyFill="1" applyBorder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/>
    </xf>
    <xf numFmtId="49" fontId="0" fillId="0" borderId="0" xfId="0" applyNumberFormat="1" applyBorder="1"/>
    <xf numFmtId="164" fontId="2" fillId="6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" fillId="2" borderId="9" xfId="0" applyNumberFormat="1" applyFont="1" applyFill="1" applyBorder="1" applyAlignment="1">
      <alignment horizontal="center" vertical="center"/>
    </xf>
    <xf numFmtId="0" fontId="0" fillId="0" borderId="0" xfId="0" applyNumberFormat="1" applyBorder="1"/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5">
    <dxf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-[$R$-416]\ * #,##0.00_-;\-[$R$-416]\ * #,##0.00_-;_-[$R$-416]\ * &quot;-&quot;??_-;_-@_-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-[$R$-416]\ * #,##0.00_-;\-[$R$-416]\ * #,##0.00_-;_-[$R$-416]\ * &quot;-&quot;??_-;_-@_-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133351</xdr:rowOff>
    </xdr:from>
    <xdr:to>
      <xdr:col>4</xdr:col>
      <xdr:colOff>66675</xdr:colOff>
      <xdr:row>11</xdr:row>
      <xdr:rowOff>76200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BE332F6-024B-4CD7-86AA-27C50DF888D7}"/>
            </a:ext>
          </a:extLst>
        </xdr:cNvPr>
        <xdr:cNvSpPr/>
      </xdr:nvSpPr>
      <xdr:spPr>
        <a:xfrm>
          <a:off x="200025" y="133351"/>
          <a:ext cx="3600450" cy="2238374"/>
        </a:xfrm>
        <a:prstGeom prst="rect">
          <a:avLst/>
        </a:prstGeom>
        <a:noFill/>
        <a:ln w="28575"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123824</xdr:colOff>
      <xdr:row>7</xdr:row>
      <xdr:rowOff>38100</xdr:rowOff>
    </xdr:from>
    <xdr:to>
      <xdr:col>3</xdr:col>
      <xdr:colOff>628650</xdr:colOff>
      <xdr:row>8</xdr:row>
      <xdr:rowOff>180975</xdr:rowOff>
    </xdr:to>
    <xdr:sp macro="[0]!Adicionar_Produca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36A3990-6334-4781-BF54-3743B4FFC74E}"/>
            </a:ext>
          </a:extLst>
        </xdr:cNvPr>
        <xdr:cNvSpPr/>
      </xdr:nvSpPr>
      <xdr:spPr>
        <a:xfrm>
          <a:off x="2228849" y="1571625"/>
          <a:ext cx="1409701" cy="3333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</a:t>
          </a:r>
        </a:p>
      </xdr:txBody>
    </xdr:sp>
    <xdr:clientData/>
  </xdr:twoCellAnchor>
  <xdr:twoCellAnchor>
    <xdr:from>
      <xdr:col>7</xdr:col>
      <xdr:colOff>161925</xdr:colOff>
      <xdr:row>0</xdr:row>
      <xdr:rowOff>123825</xdr:rowOff>
    </xdr:from>
    <xdr:to>
      <xdr:col>10</xdr:col>
      <xdr:colOff>95251</xdr:colOff>
      <xdr:row>11</xdr:row>
      <xdr:rowOff>95250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39847DBC-AC29-4E71-93FD-51DFD8F3439E}"/>
            </a:ext>
          </a:extLst>
        </xdr:cNvPr>
        <xdr:cNvSpPr/>
      </xdr:nvSpPr>
      <xdr:spPr>
        <a:xfrm>
          <a:off x="7524750" y="123825"/>
          <a:ext cx="3486151" cy="2266950"/>
        </a:xfrm>
        <a:prstGeom prst="rect">
          <a:avLst/>
        </a:prstGeom>
        <a:noFill/>
        <a:ln w="28575"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1009649</xdr:colOff>
      <xdr:row>9</xdr:row>
      <xdr:rowOff>38100</xdr:rowOff>
    </xdr:from>
    <xdr:to>
      <xdr:col>9</xdr:col>
      <xdr:colOff>0</xdr:colOff>
      <xdr:row>10</xdr:row>
      <xdr:rowOff>180975</xdr:rowOff>
    </xdr:to>
    <xdr:sp macro="[0]!Nova_Consult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49D18DC-D600-43A1-A188-B3F0BC932780}"/>
            </a:ext>
          </a:extLst>
        </xdr:cNvPr>
        <xdr:cNvSpPr/>
      </xdr:nvSpPr>
      <xdr:spPr>
        <a:xfrm>
          <a:off x="1276349" y="1952625"/>
          <a:ext cx="1409701" cy="3333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Consulta</a:t>
          </a:r>
        </a:p>
      </xdr:txBody>
    </xdr:sp>
    <xdr:clientData/>
  </xdr:twoCellAnchor>
  <xdr:twoCellAnchor>
    <xdr:from>
      <xdr:col>4</xdr:col>
      <xdr:colOff>190499</xdr:colOff>
      <xdr:row>0</xdr:row>
      <xdr:rowOff>133351</xdr:rowOff>
    </xdr:from>
    <xdr:to>
      <xdr:col>7</xdr:col>
      <xdr:colOff>57150</xdr:colOff>
      <xdr:row>11</xdr:row>
      <xdr:rowOff>95250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A602E22-7965-45DE-A744-566B9352B197}"/>
            </a:ext>
          </a:extLst>
        </xdr:cNvPr>
        <xdr:cNvSpPr/>
      </xdr:nvSpPr>
      <xdr:spPr>
        <a:xfrm>
          <a:off x="3924299" y="133351"/>
          <a:ext cx="3495676" cy="2257424"/>
        </a:xfrm>
        <a:prstGeom prst="rect">
          <a:avLst/>
        </a:prstGeom>
        <a:noFill/>
        <a:ln w="28575">
          <a:solidFill>
            <a:schemeClr val="accent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95250</xdr:colOff>
      <xdr:row>7</xdr:row>
      <xdr:rowOff>47625</xdr:rowOff>
    </xdr:from>
    <xdr:to>
      <xdr:col>6</xdr:col>
      <xdr:colOff>1485900</xdr:colOff>
      <xdr:row>9</xdr:row>
      <xdr:rowOff>0</xdr:rowOff>
    </xdr:to>
    <xdr:sp macro="[0]!Adicionar_Vend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22FC303C-CD82-4B82-B377-910CFEEBA3E0}"/>
            </a:ext>
          </a:extLst>
        </xdr:cNvPr>
        <xdr:cNvSpPr/>
      </xdr:nvSpPr>
      <xdr:spPr>
        <a:xfrm>
          <a:off x="5915025" y="1581150"/>
          <a:ext cx="1390650" cy="3333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</a:t>
          </a:r>
        </a:p>
      </xdr:txBody>
    </xdr:sp>
    <xdr:clientData/>
  </xdr:twoCellAnchor>
  <xdr:twoCellAnchor>
    <xdr:from>
      <xdr:col>2</xdr:col>
      <xdr:colOff>304800</xdr:colOff>
      <xdr:row>12</xdr:row>
      <xdr:rowOff>9525</xdr:rowOff>
    </xdr:from>
    <xdr:to>
      <xdr:col>8</xdr:col>
      <xdr:colOff>1552576</xdr:colOff>
      <xdr:row>13</xdr:row>
      <xdr:rowOff>171450</xdr:rowOff>
    </xdr:to>
    <xdr:sp macro="[0]!Voltar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C4D52CA-6E44-4305-A630-A0426BD5F204}"/>
            </a:ext>
          </a:extLst>
        </xdr:cNvPr>
        <xdr:cNvSpPr/>
      </xdr:nvSpPr>
      <xdr:spPr>
        <a:xfrm>
          <a:off x="2409825" y="2495550"/>
          <a:ext cx="6753226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VOLTAR</a:t>
          </a:r>
          <a:r>
            <a:rPr lang="pt-BR" sz="2800" baseline="0"/>
            <a:t> PARA O INICIO</a:t>
          </a:r>
          <a:endParaRPr lang="pt-BR" sz="2800"/>
        </a:p>
      </xdr:txBody>
    </xdr:sp>
    <xdr:clientData/>
  </xdr:twoCellAnchor>
  <xdr:twoCellAnchor>
    <xdr:from>
      <xdr:col>2</xdr:col>
      <xdr:colOff>304800</xdr:colOff>
      <xdr:row>14</xdr:row>
      <xdr:rowOff>28575</xdr:rowOff>
    </xdr:from>
    <xdr:to>
      <xdr:col>8</xdr:col>
      <xdr:colOff>1552576</xdr:colOff>
      <xdr:row>16</xdr:row>
      <xdr:rowOff>0</xdr:rowOff>
    </xdr:to>
    <xdr:sp macro="[0]!atalho_controle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21D7FF5-C29A-448F-B586-B439B8868239}"/>
            </a:ext>
          </a:extLst>
        </xdr:cNvPr>
        <xdr:cNvSpPr/>
      </xdr:nvSpPr>
      <xdr:spPr>
        <a:xfrm>
          <a:off x="2409825" y="2895600"/>
          <a:ext cx="6753226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Acessar Controle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6</xdr:col>
          <xdr:colOff>63500</xdr:colOff>
          <xdr:row>5</xdr:row>
          <xdr:rowOff>63500</xdr:rowOff>
        </xdr:to>
        <xdr:sp macro="" textlink="">
          <xdr:nvSpPr>
            <xdr:cNvPr id="1026" name="TempComb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133350</xdr:rowOff>
    </xdr:from>
    <xdr:to>
      <xdr:col>4</xdr:col>
      <xdr:colOff>66675</xdr:colOff>
      <xdr:row>6</xdr:row>
      <xdr:rowOff>47625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84E6C7DE-92A1-4478-AF29-EB2218C4FEAD}"/>
            </a:ext>
          </a:extLst>
        </xdr:cNvPr>
        <xdr:cNvSpPr/>
      </xdr:nvSpPr>
      <xdr:spPr>
        <a:xfrm>
          <a:off x="190500" y="133350"/>
          <a:ext cx="3762375" cy="1247775"/>
        </a:xfrm>
        <a:prstGeom prst="rect">
          <a:avLst/>
        </a:prstGeom>
        <a:noFill/>
        <a:ln w="28575"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19049</xdr:colOff>
      <xdr:row>4</xdr:row>
      <xdr:rowOff>28575</xdr:rowOff>
    </xdr:from>
    <xdr:to>
      <xdr:col>1</xdr:col>
      <xdr:colOff>1552575</xdr:colOff>
      <xdr:row>5</xdr:row>
      <xdr:rowOff>171450</xdr:rowOff>
    </xdr:to>
    <xdr:sp macro="[0]!atalho_materi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6D1B1BC-2D8C-4469-8296-2EC737D1562D}"/>
            </a:ext>
          </a:extLst>
        </xdr:cNvPr>
        <xdr:cNvSpPr/>
      </xdr:nvSpPr>
      <xdr:spPr>
        <a:xfrm>
          <a:off x="266699" y="600075"/>
          <a:ext cx="1533526" cy="33337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</a:t>
          </a:r>
          <a:r>
            <a:rPr lang="pt-BR" sz="1100" baseline="0"/>
            <a:t> Lista Material</a:t>
          </a:r>
          <a:endParaRPr lang="pt-BR" sz="1100"/>
        </a:p>
      </xdr:txBody>
    </xdr:sp>
    <xdr:clientData/>
  </xdr:twoCellAnchor>
  <xdr:twoCellAnchor>
    <xdr:from>
      <xdr:col>3</xdr:col>
      <xdr:colOff>38100</xdr:colOff>
      <xdr:row>4</xdr:row>
      <xdr:rowOff>28575</xdr:rowOff>
    </xdr:from>
    <xdr:to>
      <xdr:col>3</xdr:col>
      <xdr:colOff>1304925</xdr:colOff>
      <xdr:row>5</xdr:row>
      <xdr:rowOff>171450</xdr:rowOff>
    </xdr:to>
    <xdr:sp macro="[0]!Adicionar_Materia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D109640-141C-4142-9EBA-8E9F474252D1}"/>
            </a:ext>
          </a:extLst>
        </xdr:cNvPr>
        <xdr:cNvSpPr/>
      </xdr:nvSpPr>
      <xdr:spPr>
        <a:xfrm>
          <a:off x="3524250" y="600075"/>
          <a:ext cx="1266825" cy="3333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</a:t>
          </a:r>
        </a:p>
      </xdr:txBody>
    </xdr:sp>
    <xdr:clientData/>
  </xdr:twoCellAnchor>
  <xdr:twoCellAnchor>
    <xdr:from>
      <xdr:col>5</xdr:col>
      <xdr:colOff>19050</xdr:colOff>
      <xdr:row>17</xdr:row>
      <xdr:rowOff>28575</xdr:rowOff>
    </xdr:from>
    <xdr:to>
      <xdr:col>5</xdr:col>
      <xdr:colOff>1514475</xdr:colOff>
      <xdr:row>18</xdr:row>
      <xdr:rowOff>171450</xdr:rowOff>
    </xdr:to>
    <xdr:sp macro="[0]!atalho_recei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430CA9E-664B-4AFA-982D-E8DB9C5F034E}"/>
            </a:ext>
          </a:extLst>
        </xdr:cNvPr>
        <xdr:cNvSpPr/>
      </xdr:nvSpPr>
      <xdr:spPr>
        <a:xfrm>
          <a:off x="266700" y="4029075"/>
          <a:ext cx="1495425" cy="333375"/>
        </a:xfrm>
        <a:prstGeom prst="roundRect">
          <a:avLst/>
        </a:prstGeom>
        <a:solidFill>
          <a:schemeClr val="accent4">
            <a:lumMod val="50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</a:t>
          </a:r>
          <a:r>
            <a:rPr lang="pt-BR" sz="1100" baseline="0"/>
            <a:t> Lista Receitas</a:t>
          </a:r>
          <a:endParaRPr lang="pt-BR" sz="1100"/>
        </a:p>
      </xdr:txBody>
    </xdr:sp>
    <xdr:clientData/>
  </xdr:twoCellAnchor>
  <xdr:twoCellAnchor>
    <xdr:from>
      <xdr:col>7</xdr:col>
      <xdr:colOff>19050</xdr:colOff>
      <xdr:row>17</xdr:row>
      <xdr:rowOff>28575</xdr:rowOff>
    </xdr:from>
    <xdr:to>
      <xdr:col>7</xdr:col>
      <xdr:colOff>1304925</xdr:colOff>
      <xdr:row>18</xdr:row>
      <xdr:rowOff>171450</xdr:rowOff>
    </xdr:to>
    <xdr:sp macro="[0]!Adicionar_Receit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BC6C837-6B29-4B36-9487-4E4CA3E1A2E8}"/>
            </a:ext>
          </a:extLst>
        </xdr:cNvPr>
        <xdr:cNvSpPr/>
      </xdr:nvSpPr>
      <xdr:spPr>
        <a:xfrm>
          <a:off x="3505200" y="4029075"/>
          <a:ext cx="1285875" cy="33337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</a:t>
          </a:r>
        </a:p>
      </xdr:txBody>
    </xdr:sp>
    <xdr:clientData/>
  </xdr:twoCellAnchor>
  <xdr:twoCellAnchor>
    <xdr:from>
      <xdr:col>9</xdr:col>
      <xdr:colOff>19050</xdr:colOff>
      <xdr:row>17</xdr:row>
      <xdr:rowOff>28575</xdr:rowOff>
    </xdr:from>
    <xdr:to>
      <xdr:col>9</xdr:col>
      <xdr:colOff>1514475</xdr:colOff>
      <xdr:row>18</xdr:row>
      <xdr:rowOff>171450</xdr:rowOff>
    </xdr:to>
    <xdr:sp macro="[0]!atalho_produ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D8F54C5E-1AB0-46C8-B4C6-E768A84356E0}"/>
            </a:ext>
          </a:extLst>
        </xdr:cNvPr>
        <xdr:cNvSpPr/>
      </xdr:nvSpPr>
      <xdr:spPr>
        <a:xfrm>
          <a:off x="266700" y="4029075"/>
          <a:ext cx="1495425" cy="333375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Acessar</a:t>
          </a:r>
          <a:r>
            <a:rPr lang="pt-BR" sz="1100" baseline="0"/>
            <a:t> Lista Produtos</a:t>
          </a:r>
          <a:endParaRPr lang="pt-BR" sz="1100"/>
        </a:p>
      </xdr:txBody>
    </xdr:sp>
    <xdr:clientData/>
  </xdr:twoCellAnchor>
  <xdr:twoCellAnchor>
    <xdr:from>
      <xdr:col>11</xdr:col>
      <xdr:colOff>19050</xdr:colOff>
      <xdr:row>17</xdr:row>
      <xdr:rowOff>28575</xdr:rowOff>
    </xdr:from>
    <xdr:to>
      <xdr:col>12</xdr:col>
      <xdr:colOff>0</xdr:colOff>
      <xdr:row>18</xdr:row>
      <xdr:rowOff>171450</xdr:rowOff>
    </xdr:to>
    <xdr:sp macro="[0]!Adicionar_Produt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E8BF3A-DE90-45AD-A548-13E81BEF636A}"/>
            </a:ext>
          </a:extLst>
        </xdr:cNvPr>
        <xdr:cNvSpPr/>
      </xdr:nvSpPr>
      <xdr:spPr>
        <a:xfrm>
          <a:off x="10915650" y="3076575"/>
          <a:ext cx="819150" cy="333375"/>
        </a:xfrm>
        <a:prstGeom prst="roundRect">
          <a:avLst/>
        </a:prstGeom>
        <a:solidFill>
          <a:schemeClr val="accent2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</a:t>
          </a:r>
        </a:p>
      </xdr:txBody>
    </xdr:sp>
    <xdr:clientData/>
  </xdr:twoCellAnchor>
  <xdr:twoCellAnchor>
    <xdr:from>
      <xdr:col>4</xdr:col>
      <xdr:colOff>228600</xdr:colOff>
      <xdr:row>0</xdr:row>
      <xdr:rowOff>133350</xdr:rowOff>
    </xdr:from>
    <xdr:to>
      <xdr:col>8</xdr:col>
      <xdr:colOff>66675</xdr:colOff>
      <xdr:row>19</xdr:row>
      <xdr:rowOff>47625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209763E-2107-4053-9AC8-D99108AEFC2F}"/>
            </a:ext>
          </a:extLst>
        </xdr:cNvPr>
        <xdr:cNvSpPr/>
      </xdr:nvSpPr>
      <xdr:spPr>
        <a:xfrm>
          <a:off x="4114800" y="133350"/>
          <a:ext cx="3762375" cy="3724275"/>
        </a:xfrm>
        <a:prstGeom prst="rect">
          <a:avLst/>
        </a:prstGeom>
        <a:noFill/>
        <a:ln w="28575">
          <a:solidFill>
            <a:schemeClr val="accent4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228600</xdr:colOff>
      <xdr:row>0</xdr:row>
      <xdr:rowOff>133350</xdr:rowOff>
    </xdr:from>
    <xdr:to>
      <xdr:col>12</xdr:col>
      <xdr:colOff>66675</xdr:colOff>
      <xdr:row>19</xdr:row>
      <xdr:rowOff>47625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C9911CC2-9AB3-46B1-8093-03A1643F96B8}"/>
            </a:ext>
          </a:extLst>
        </xdr:cNvPr>
        <xdr:cNvSpPr/>
      </xdr:nvSpPr>
      <xdr:spPr>
        <a:xfrm>
          <a:off x="8039100" y="133350"/>
          <a:ext cx="3762375" cy="3819525"/>
        </a:xfrm>
        <a:prstGeom prst="rect">
          <a:avLst/>
        </a:prstGeom>
        <a:noFill/>
        <a:ln w="28575">
          <a:solidFill>
            <a:schemeClr val="accent2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180975</xdr:colOff>
      <xdr:row>10</xdr:row>
      <xdr:rowOff>133350</xdr:rowOff>
    </xdr:from>
    <xdr:to>
      <xdr:col>4</xdr:col>
      <xdr:colOff>57150</xdr:colOff>
      <xdr:row>19</xdr:row>
      <xdr:rowOff>47625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8C3FC60F-233D-47CC-965C-6F7A95A17B1E}"/>
            </a:ext>
          </a:extLst>
        </xdr:cNvPr>
        <xdr:cNvSpPr/>
      </xdr:nvSpPr>
      <xdr:spPr>
        <a:xfrm>
          <a:off x="180975" y="2228850"/>
          <a:ext cx="3762375" cy="1724025"/>
        </a:xfrm>
        <a:prstGeom prst="rect">
          <a:avLst/>
        </a:prstGeom>
        <a:noFill/>
        <a:ln w="28575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1009649</xdr:colOff>
      <xdr:row>17</xdr:row>
      <xdr:rowOff>38100</xdr:rowOff>
    </xdr:from>
    <xdr:to>
      <xdr:col>2</xdr:col>
      <xdr:colOff>581025</xdr:colOff>
      <xdr:row>18</xdr:row>
      <xdr:rowOff>180975</xdr:rowOff>
    </xdr:to>
    <xdr:sp macro="[0]!Nova_Consult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928D47B6-F94B-4AC4-A1FE-A58556EBCB00}"/>
            </a:ext>
          </a:extLst>
        </xdr:cNvPr>
        <xdr:cNvSpPr/>
      </xdr:nvSpPr>
      <xdr:spPr>
        <a:xfrm>
          <a:off x="1257299" y="3562350"/>
          <a:ext cx="1533526" cy="333375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Consulta</a:t>
          </a:r>
        </a:p>
      </xdr:txBody>
    </xdr:sp>
    <xdr:clientData/>
  </xdr:twoCellAnchor>
  <xdr:twoCellAnchor>
    <xdr:from>
      <xdr:col>0</xdr:col>
      <xdr:colOff>219075</xdr:colOff>
      <xdr:row>7</xdr:row>
      <xdr:rowOff>161925</xdr:rowOff>
    </xdr:from>
    <xdr:to>
      <xdr:col>4</xdr:col>
      <xdr:colOff>57150</xdr:colOff>
      <xdr:row>9</xdr:row>
      <xdr:rowOff>38100</xdr:rowOff>
    </xdr:to>
    <xdr:sp macro="[0]!atalho_adc_controle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8543D659-B93F-4FA5-BE19-1A91E684EE0A}"/>
            </a:ext>
          </a:extLst>
        </xdr:cNvPr>
        <xdr:cNvSpPr/>
      </xdr:nvSpPr>
      <xdr:spPr>
        <a:xfrm>
          <a:off x="219075" y="1685925"/>
          <a:ext cx="3724275" cy="2571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Adicionar Controle</a:t>
          </a:r>
        </a:p>
      </xdr:txBody>
    </xdr:sp>
    <xdr:clientData/>
  </xdr:twoCellAnchor>
  <xdr:twoCellAnchor>
    <xdr:from>
      <xdr:col>1</xdr:col>
      <xdr:colOff>276225</xdr:colOff>
      <xdr:row>19</xdr:row>
      <xdr:rowOff>171450</xdr:rowOff>
    </xdr:from>
    <xdr:to>
      <xdr:col>3</xdr:col>
      <xdr:colOff>466724</xdr:colOff>
      <xdr:row>21</xdr:row>
      <xdr:rowOff>47625</xdr:rowOff>
    </xdr:to>
    <xdr:sp macro="[0]!atalho_controle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A45DF091-6867-4E31-984B-6369CD814FA9}"/>
            </a:ext>
          </a:extLst>
        </xdr:cNvPr>
        <xdr:cNvSpPr/>
      </xdr:nvSpPr>
      <xdr:spPr>
        <a:xfrm>
          <a:off x="523875" y="4076700"/>
          <a:ext cx="2990849" cy="25717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Visualizar Controle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63500</xdr:colOff>
          <xdr:row>5</xdr:row>
          <xdr:rowOff>63500</xdr:rowOff>
        </xdr:to>
        <xdr:sp macro="" textlink="">
          <xdr:nvSpPr>
            <xdr:cNvPr id="2050" name="TempComb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0</xdr:row>
      <xdr:rowOff>19050</xdr:rowOff>
    </xdr:from>
    <xdr:to>
      <xdr:col>3</xdr:col>
      <xdr:colOff>647700</xdr:colOff>
      <xdr:row>0</xdr:row>
      <xdr:rowOff>371475</xdr:rowOff>
    </xdr:to>
    <xdr:sp macro="[0]!Volt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395CB2-FDF0-4489-BB67-9C349FB28C1E}"/>
            </a:ext>
          </a:extLst>
        </xdr:cNvPr>
        <xdr:cNvSpPr/>
      </xdr:nvSpPr>
      <xdr:spPr>
        <a:xfrm>
          <a:off x="323849" y="19050"/>
          <a:ext cx="4267201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VOLTAR</a:t>
          </a:r>
          <a:r>
            <a:rPr lang="pt-BR" sz="2800" baseline="0"/>
            <a:t> PARA O INICIO</a:t>
          </a:r>
          <a:endParaRPr lang="pt-BR" sz="2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0</xdr:row>
      <xdr:rowOff>19050</xdr:rowOff>
    </xdr:from>
    <xdr:to>
      <xdr:col>3</xdr:col>
      <xdr:colOff>638175</xdr:colOff>
      <xdr:row>0</xdr:row>
      <xdr:rowOff>371475</xdr:rowOff>
    </xdr:to>
    <xdr:sp macro="[0]!Volt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647E913-5969-4E7C-A561-7BB94426C17D}"/>
            </a:ext>
          </a:extLst>
        </xdr:cNvPr>
        <xdr:cNvSpPr/>
      </xdr:nvSpPr>
      <xdr:spPr>
        <a:xfrm>
          <a:off x="323849" y="19050"/>
          <a:ext cx="4257676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VOLTAR</a:t>
          </a:r>
          <a:r>
            <a:rPr lang="pt-BR" sz="2800" baseline="0"/>
            <a:t> PARA O INICIO</a:t>
          </a:r>
          <a:endParaRPr lang="pt-BR" sz="2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0</xdr:row>
      <xdr:rowOff>19050</xdr:rowOff>
    </xdr:from>
    <xdr:to>
      <xdr:col>3</xdr:col>
      <xdr:colOff>638175</xdr:colOff>
      <xdr:row>0</xdr:row>
      <xdr:rowOff>371475</xdr:rowOff>
    </xdr:to>
    <xdr:sp macro="[0]!Volt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DC7CB8B-6EC6-455E-8823-B84B0EEF8C39}"/>
            </a:ext>
          </a:extLst>
        </xdr:cNvPr>
        <xdr:cNvSpPr/>
      </xdr:nvSpPr>
      <xdr:spPr>
        <a:xfrm>
          <a:off x="323849" y="19050"/>
          <a:ext cx="4257676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VOLTAR</a:t>
          </a:r>
          <a:r>
            <a:rPr lang="pt-BR" sz="2800" baseline="0"/>
            <a:t> PARA O INICIO</a:t>
          </a:r>
          <a:endParaRPr lang="pt-BR" sz="2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0</xdr:row>
      <xdr:rowOff>9525</xdr:rowOff>
    </xdr:from>
    <xdr:to>
      <xdr:col>7</xdr:col>
      <xdr:colOff>619125</xdr:colOff>
      <xdr:row>0</xdr:row>
      <xdr:rowOff>361950</xdr:rowOff>
    </xdr:to>
    <xdr:sp macro="[0]!Volt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B8431CC-9812-47C4-A629-68BFA38F4B79}"/>
            </a:ext>
          </a:extLst>
        </xdr:cNvPr>
        <xdr:cNvSpPr/>
      </xdr:nvSpPr>
      <xdr:spPr>
        <a:xfrm>
          <a:off x="333374" y="9525"/>
          <a:ext cx="6600826" cy="3524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/>
            <a:t>VOLTAR</a:t>
          </a:r>
          <a:r>
            <a:rPr lang="pt-BR" sz="2800" baseline="0"/>
            <a:t> PARA O INICIO</a:t>
          </a:r>
          <a:endParaRPr lang="pt-BR" sz="2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FE5426-F53C-44BF-B659-371F40C0FA9C}" name="Tabela2" displayName="Tabela2" ref="B2:D109" totalsRowShown="0" headerRowDxfId="24" dataDxfId="23" tableBorderDxfId="22">
  <autoFilter ref="B2:D109" xr:uid="{62FE5426-F53C-44BF-B659-371F40C0FA9C}"/>
  <tableColumns count="3">
    <tableColumn id="1" xr3:uid="{B233A1EA-F76E-4D6C-81FD-05A20A6DAD73}" name="Material"/>
    <tableColumn id="2" xr3:uid="{B798D72D-72C5-454D-8D4B-5017532A6172}" name="Quantidade"/>
    <tableColumn id="3" xr3:uid="{4BA5729A-40B6-4F24-B1F7-A7B337993E65}" name="Valor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635A4B-6B11-4FD3-B8CF-31C9C3059001}" name="Tabela3" displayName="Tabela3" ref="B2:D3" insertRow="1" totalsRowShown="0" headerRowDxfId="20" headerRowBorderDxfId="19" tableBorderDxfId="18">
  <autoFilter ref="B2:D3" xr:uid="{2E635A4B-6B11-4FD3-B8CF-31C9C3059001}"/>
  <tableColumns count="3">
    <tableColumn id="1" xr3:uid="{37085AF7-C301-413F-896F-C28CE05A5974}" name="Receita"/>
    <tableColumn id="2" xr3:uid="{842F789C-17E7-42D1-A7BD-A5DB9AE1A3A6}" name="Quantidade"/>
    <tableColumn id="3" xr3:uid="{6D598B51-E093-49BB-AF50-52BC9D5F13B0}" name="Valor" dataDxfId="1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8BF6D2-A458-4AAA-89D6-3E4DA92E2CEB}" name="Tabela5" displayName="Tabela5" ref="B2:D3" insertRow="1" totalsRowShown="0" headerRowDxfId="16" dataDxfId="0" headerRowBorderDxfId="15" tableBorderDxfId="14">
  <autoFilter ref="B2:D3" xr:uid="{BB8BF6D2-A458-4AAA-89D6-3E4DA92E2CEB}"/>
  <tableColumns count="3">
    <tableColumn id="1" xr3:uid="{AB891B99-7905-4FAA-901A-6532F5CE080F}" name="Produto" dataDxfId="3"/>
    <tableColumn id="2" xr3:uid="{4F9DD8FE-7FFF-4EE4-918C-3BFC382BCDD3}" name="Quantidade" dataDxfId="2"/>
    <tableColumn id="3" xr3:uid="{3B370D2C-3CAB-4930-9F72-9B3248FE77F3}" name="Valor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D6F667-89AE-49AE-9DAA-8590397E63ED}" name="Tabela22" displayName="Tabela22" ref="B2:H3" totalsRowShown="0" headerRowDxfId="13" dataDxfId="12" tableBorderDxfId="11">
  <autoFilter ref="B2:H3" xr:uid="{65D6F667-89AE-49AE-9DAA-8590397E63ED}"/>
  <tableColumns count="7">
    <tableColumn id="6" xr3:uid="{61A27BCC-B2AF-44DE-92E2-69BA991E5ED9}" name="Semana" dataDxfId="7"/>
    <tableColumn id="1" xr3:uid="{C1A314BF-5899-4492-9350-C9F3933B57CF}" name="Produto" dataDxfId="10"/>
    <tableColumn id="2" xr3:uid="{34221153-D34D-42AF-BFA3-37D96555C954}" name="Qnt Prod" dataDxfId="9"/>
    <tableColumn id="7" xr3:uid="{1067C527-7366-43B0-B8F0-27C303AE8CC3}" name="Qntd Vend" dataDxfId="8"/>
    <tableColumn id="3" xr3:uid="{24B84D7C-87B3-4401-A196-884C4A6FB139}" name="Custo" dataDxfId="6"/>
    <tableColumn id="4" xr3:uid="{5BDA0B73-F41F-4C22-B8D7-A0A99362B495}" name="Valor Un" dataDxfId="4"/>
    <tableColumn id="5" xr3:uid="{2CF83194-A21B-485F-AB75-977F2CAA9406}" name="Lucro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469B-BD37-42C4-A67F-853196BEFD39}">
  <sheetPr codeName="Planilha5">
    <tabColor rgb="FF00B050"/>
  </sheetPr>
  <dimension ref="A1:K12"/>
  <sheetViews>
    <sheetView showGridLines="0" tabSelected="1" workbookViewId="0">
      <selection activeCell="F19" sqref="F19"/>
    </sheetView>
  </sheetViews>
  <sheetFormatPr defaultRowHeight="15" x14ac:dyDescent="0.25"/>
  <cols>
    <col min="1" max="1" width="4" customWidth="1"/>
    <col min="2" max="2" width="27.5703125" customWidth="1"/>
    <col min="3" max="3" width="13.5703125" customWidth="1"/>
    <col min="4" max="4" width="10.85546875" customWidth="1"/>
    <col min="5" max="5" width="3.7109375" customWidth="1"/>
    <col min="6" max="6" width="27.5703125" customWidth="1"/>
    <col min="7" max="7" width="23.140625" customWidth="1"/>
    <col min="8" max="8" width="3.7109375" customWidth="1"/>
    <col min="9" max="9" width="35.28515625" bestFit="1" customWidth="1"/>
    <col min="10" max="10" width="14.28515625" customWidth="1"/>
  </cols>
  <sheetData>
    <row r="1" spans="1:11" x14ac:dyDescent="0.25">
      <c r="A1" s="2"/>
      <c r="B1" s="2"/>
      <c r="C1" s="2"/>
      <c r="D1" s="2"/>
      <c r="F1" s="2"/>
      <c r="G1" s="2"/>
      <c r="I1" s="2"/>
      <c r="J1" s="2"/>
      <c r="K1" s="2"/>
    </row>
    <row r="2" spans="1:11" x14ac:dyDescent="0.25">
      <c r="A2" s="2"/>
      <c r="B2" s="61" t="s">
        <v>18</v>
      </c>
      <c r="C2" s="61"/>
      <c r="D2" s="61"/>
      <c r="F2" s="59" t="s">
        <v>24</v>
      </c>
      <c r="G2" s="59"/>
      <c r="I2" s="55" t="s">
        <v>19</v>
      </c>
      <c r="J2" s="55"/>
      <c r="K2" s="2"/>
    </row>
    <row r="3" spans="1:11" ht="27" customHeight="1" x14ac:dyDescent="0.25">
      <c r="A3" s="2"/>
      <c r="B3" s="62"/>
      <c r="C3" s="62"/>
      <c r="D3" s="62"/>
      <c r="F3" s="60"/>
      <c r="G3" s="60"/>
      <c r="I3" s="56"/>
      <c r="J3" s="56"/>
      <c r="K3" s="2"/>
    </row>
    <row r="4" spans="1:11" ht="18.75" x14ac:dyDescent="0.3">
      <c r="A4" s="2"/>
      <c r="B4" s="3" t="s">
        <v>13</v>
      </c>
      <c r="C4" s="3" t="s">
        <v>0</v>
      </c>
      <c r="D4" s="3" t="s">
        <v>14</v>
      </c>
      <c r="F4" s="3" t="s">
        <v>13</v>
      </c>
      <c r="G4" s="3" t="s">
        <v>0</v>
      </c>
      <c r="I4" s="57" t="s">
        <v>27</v>
      </c>
      <c r="J4" s="58"/>
      <c r="K4" s="14"/>
    </row>
    <row r="5" spans="1:11" x14ac:dyDescent="0.25">
      <c r="A5" s="2"/>
      <c r="B5" s="21"/>
      <c r="C5" s="21">
        <v>3</v>
      </c>
      <c r="D5" s="21">
        <f>IFERROR((C5*(VLOOKUP(B5,Produto!$B:$D,3,0)))/VLOOKUP(B5,Produto!$B:$C,2,0),0)</f>
        <v>0</v>
      </c>
      <c r="F5" s="23"/>
      <c r="G5" s="23"/>
      <c r="I5" s="79"/>
      <c r="J5" s="76"/>
      <c r="K5" s="16"/>
    </row>
    <row r="6" spans="1:11" x14ac:dyDescent="0.25">
      <c r="A6" s="2"/>
      <c r="B6" s="40"/>
      <c r="C6" s="71"/>
      <c r="D6" s="71"/>
      <c r="F6" s="3" t="s">
        <v>28</v>
      </c>
      <c r="G6" s="17" t="s">
        <v>15</v>
      </c>
      <c r="I6" s="3" t="s">
        <v>20</v>
      </c>
      <c r="J6" s="3" t="s">
        <v>21</v>
      </c>
      <c r="K6" s="2"/>
    </row>
    <row r="7" spans="1:11" x14ac:dyDescent="0.25">
      <c r="A7" s="2"/>
      <c r="B7" s="41"/>
      <c r="C7" s="72"/>
      <c r="D7" s="72"/>
      <c r="F7" s="23"/>
      <c r="G7" s="84"/>
      <c r="I7" s="77">
        <f>SUMIF(Controle!$B:$B,$I$5,Controle!D:D)</f>
        <v>0</v>
      </c>
      <c r="J7" s="78">
        <f>SUMIF(Controle!$B:$B,$I$5,Controle!F:F)</f>
        <v>0</v>
      </c>
      <c r="K7" s="2"/>
    </row>
    <row r="8" spans="1:11" x14ac:dyDescent="0.25">
      <c r="A8" s="2"/>
      <c r="B8" s="3" t="s">
        <v>27</v>
      </c>
      <c r="C8" s="74"/>
      <c r="D8" s="75"/>
      <c r="E8" s="20"/>
      <c r="F8" s="3" t="s">
        <v>27</v>
      </c>
      <c r="G8" s="37"/>
      <c r="I8" s="3" t="s">
        <v>22</v>
      </c>
      <c r="J8" s="18" t="s">
        <v>23</v>
      </c>
      <c r="K8" s="2"/>
    </row>
    <row r="9" spans="1:11" x14ac:dyDescent="0.25">
      <c r="A9" s="2"/>
      <c r="B9" s="86"/>
      <c r="C9" s="73"/>
      <c r="D9" s="72"/>
      <c r="F9" s="85"/>
      <c r="G9" s="38"/>
      <c r="I9" s="77">
        <f>SUMIF(Controle!$B:$B,$I$5,Controle!E:E)</f>
        <v>0</v>
      </c>
      <c r="J9" s="78">
        <f>SUMIF(Controle!B:B,I5,Controle!H:H)</f>
        <v>0</v>
      </c>
      <c r="K9" s="2"/>
    </row>
    <row r="10" spans="1:11" x14ac:dyDescent="0.25">
      <c r="A10" s="2"/>
      <c r="B10" s="22"/>
      <c r="C10" s="22"/>
      <c r="D10" s="22"/>
      <c r="F10" s="24"/>
      <c r="G10" s="24"/>
      <c r="I10" s="28"/>
      <c r="J10" s="28"/>
      <c r="K10" s="2"/>
    </row>
    <row r="11" spans="1:11" x14ac:dyDescent="0.25">
      <c r="A11" s="2"/>
      <c r="B11" s="22"/>
      <c r="C11" s="22"/>
      <c r="D11" s="22"/>
      <c r="F11" s="24"/>
      <c r="G11" s="24"/>
      <c r="I11" s="28"/>
      <c r="J11" s="28"/>
      <c r="K11" s="2"/>
    </row>
    <row r="12" spans="1:11" x14ac:dyDescent="0.25">
      <c r="A12" s="2"/>
      <c r="B12" s="2"/>
      <c r="C12" s="2"/>
      <c r="D12" s="2"/>
      <c r="F12" s="2"/>
      <c r="G12" s="2"/>
      <c r="I12" s="2"/>
      <c r="J12" s="2"/>
      <c r="K12" s="2"/>
    </row>
  </sheetData>
  <mergeCells count="4">
    <mergeCell ref="I2:J3"/>
    <mergeCell ref="I4:J4"/>
    <mergeCell ref="F2:G3"/>
    <mergeCell ref="B2:D3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6" r:id="rId3" name="TempCombo">
          <controlPr defaultSize="0" autoLine="0" linkedCell="$F$5" listFillRange="Produto!$B:$B" r:id="rId4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6</xdr:col>
                <xdr:colOff>66675</xdr:colOff>
                <xdr:row>5</xdr:row>
                <xdr:rowOff>66675</xdr:rowOff>
              </to>
            </anchor>
          </controlPr>
        </control>
      </mc:Choice>
      <mc:Fallback>
        <control shapeId="1026" r:id="rId3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FD5B72BB-F9E5-470A-B4BF-05DAA8779B6D}">
          <x14:formula1>
            <xm:f>Produto!$B:$B</xm:f>
          </x14:formula1>
          <xm:sqref>F5 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648D4-FBF5-4B94-83E0-1CBB0F7C059C}">
  <sheetPr codeName="Planilha7"/>
  <dimension ref="A1"/>
  <sheetViews>
    <sheetView workbookViewId="0">
      <selection activeCell="G16" sqref="G1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5D98-A037-44B7-8845-D6A3CA2992A2}">
  <sheetPr codeName="Planilha1">
    <tabColor rgb="FF00B050"/>
    <outlinePr applyStyles="1"/>
  </sheetPr>
  <dimension ref="B2:L27"/>
  <sheetViews>
    <sheetView showGridLines="0" zoomScaleNormal="100" workbookViewId="0">
      <selection activeCell="M5" sqref="M5"/>
    </sheetView>
  </sheetViews>
  <sheetFormatPr defaultRowHeight="15" x14ac:dyDescent="0.25"/>
  <cols>
    <col min="1" max="1" width="3.7109375" style="2" customWidth="1"/>
    <col min="2" max="2" width="29.42578125" style="2" customWidth="1"/>
    <col min="3" max="4" width="12.5703125" style="2" customWidth="1"/>
    <col min="5" max="5" width="4.28515625" style="2" customWidth="1"/>
    <col min="6" max="6" width="29.42578125" style="2" customWidth="1"/>
    <col min="7" max="8" width="12.5703125" style="2" customWidth="1"/>
    <col min="9" max="9" width="4.28515625" style="2" customWidth="1"/>
    <col min="10" max="10" width="29.42578125" style="2" customWidth="1"/>
    <col min="11" max="12" width="12.5703125" style="2" customWidth="1"/>
    <col min="13" max="16384" width="9.140625" style="2"/>
  </cols>
  <sheetData>
    <row r="2" spans="2:12" ht="30" customHeight="1" x14ac:dyDescent="0.5">
      <c r="B2" s="65" t="s">
        <v>7</v>
      </c>
      <c r="C2" s="66"/>
      <c r="D2" s="66"/>
      <c r="F2" s="67" t="s">
        <v>9</v>
      </c>
      <c r="G2" s="67"/>
      <c r="H2" s="67"/>
      <c r="J2" s="68" t="s">
        <v>10</v>
      </c>
      <c r="K2" s="68"/>
      <c r="L2" s="68"/>
    </row>
    <row r="3" spans="2:12" x14ac:dyDescent="0.25">
      <c r="B3" s="3" t="s">
        <v>8</v>
      </c>
      <c r="C3" s="3" t="s">
        <v>0</v>
      </c>
      <c r="D3" s="3" t="s">
        <v>14</v>
      </c>
      <c r="F3" s="4" t="s">
        <v>4</v>
      </c>
      <c r="G3" s="33"/>
      <c r="H3" s="34"/>
      <c r="J3" s="4" t="s">
        <v>5</v>
      </c>
      <c r="K3" s="35"/>
      <c r="L3" s="36"/>
    </row>
    <row r="4" spans="2:12" x14ac:dyDescent="0.25">
      <c r="B4" s="21"/>
      <c r="C4" s="21"/>
      <c r="D4" s="21"/>
      <c r="F4" s="3" t="s">
        <v>2</v>
      </c>
      <c r="G4" s="3" t="s">
        <v>0</v>
      </c>
      <c r="H4" s="3" t="s">
        <v>14</v>
      </c>
      <c r="J4" s="3" t="s">
        <v>6</v>
      </c>
      <c r="K4" s="3" t="s">
        <v>0</v>
      </c>
      <c r="L4" s="3" t="s">
        <v>14</v>
      </c>
    </row>
    <row r="5" spans="2:12" x14ac:dyDescent="0.25">
      <c r="B5" s="22"/>
      <c r="C5" s="22"/>
      <c r="D5" s="22"/>
      <c r="F5" s="25"/>
      <c r="G5" s="25"/>
      <c r="H5" s="25">
        <f>IFERROR((G5*(VLOOKUP(F5,Material!$B:$D,3,0)))/VLOOKUP(F5,Material!$B:$C,2,0),0)</f>
        <v>0</v>
      </c>
      <c r="J5" s="29" t="s">
        <v>134</v>
      </c>
      <c r="K5" s="29"/>
      <c r="L5" s="29">
        <f>IFERROR((K5*(VLOOKUP(J5,Material!$B:$D,3,0)))/VLOOKUP(J5,Material!$B:$C,2,0),0)</f>
        <v>0</v>
      </c>
    </row>
    <row r="6" spans="2:12" x14ac:dyDescent="0.25">
      <c r="B6" s="22"/>
      <c r="C6" s="22"/>
      <c r="D6" s="22"/>
      <c r="F6" s="25"/>
      <c r="G6" s="25"/>
      <c r="H6" s="25">
        <f>IFERROR((G6*(VLOOKUP(F6,Material!$B:$D,3,0)))/VLOOKUP(F6,Material!$B:$C,2,0),0)</f>
        <v>0</v>
      </c>
      <c r="J6" s="29" t="s">
        <v>134</v>
      </c>
      <c r="K6" s="29"/>
      <c r="L6" s="29">
        <f>IFERROR((K6*(VLOOKUP(J6,Material!$B:$D,3,0)))/VLOOKUP(J6,Material!$B:$C,2,0),0)</f>
        <v>0</v>
      </c>
    </row>
    <row r="7" spans="2:12" x14ac:dyDescent="0.25">
      <c r="F7" s="25"/>
      <c r="G7" s="25"/>
      <c r="H7" s="25">
        <f>IFERROR((G7*(VLOOKUP(F7,Material!$B:$D,3,0)))/VLOOKUP(F7,Material!$B:$C,2,0),0)</f>
        <v>0</v>
      </c>
      <c r="J7" s="29"/>
      <c r="K7" s="29"/>
      <c r="L7" s="29">
        <f>IFERROR((K7*(VLOOKUP(J7,Material!$B:$D,3,0)))/VLOOKUP(J7,Material!$B:$C,2,0),0)</f>
        <v>0</v>
      </c>
    </row>
    <row r="8" spans="2:12" x14ac:dyDescent="0.25">
      <c r="F8" s="25"/>
      <c r="G8" s="25"/>
      <c r="H8" s="25">
        <f>IFERROR((G8*(VLOOKUP(F8,Material!$B:$D,3,0)))/VLOOKUP(F8,Material!$B:$C,2,0),0)</f>
        <v>0</v>
      </c>
      <c r="J8" s="29"/>
      <c r="K8" s="29"/>
      <c r="L8" s="29">
        <f>IFERROR((K8*(VLOOKUP(J8,Material!$B:$D,3,0)))/VLOOKUP(J8,Material!$B:$C,2,0),0)</f>
        <v>0</v>
      </c>
    </row>
    <row r="9" spans="2:12" x14ac:dyDescent="0.25">
      <c r="F9" s="25"/>
      <c r="G9" s="25"/>
      <c r="H9" s="25">
        <f>IFERROR((G9*(VLOOKUP(F9,Material!$B:$D,3,0)))/VLOOKUP(F9,Material!$B:$C,2,0),0)</f>
        <v>0</v>
      </c>
      <c r="J9" s="29"/>
      <c r="K9" s="29"/>
      <c r="L9" s="29">
        <f>IFERROR((K9*(VLOOKUP(J9,Material!$B:$D,3,0)))/VLOOKUP(J9,Material!$B:$C,2,0),0)</f>
        <v>0</v>
      </c>
    </row>
    <row r="10" spans="2:12" x14ac:dyDescent="0.25">
      <c r="F10" s="25"/>
      <c r="G10" s="25"/>
      <c r="H10" s="25">
        <f>IFERROR((G10*(VLOOKUP(F10,Material!$B:$D,3,0)))/VLOOKUP(F10,Material!$B:$C,2,0),0)</f>
        <v>0</v>
      </c>
      <c r="J10" s="29"/>
      <c r="K10" s="29"/>
      <c r="L10" s="29">
        <f>IFERROR((K10*(VLOOKUP(J10,Material!$B:$D,3,0)))/VLOOKUP(J10,Material!$B:$C,2,0),0)</f>
        <v>0</v>
      </c>
    </row>
    <row r="11" spans="2:12" x14ac:dyDescent="0.25">
      <c r="F11" s="25"/>
      <c r="G11" s="25"/>
      <c r="H11" s="25">
        <f>IFERROR((G11*(VLOOKUP(F11,Material!$B:$D,3,0)))/VLOOKUP(F11,Material!$B:$C,2,0),0)</f>
        <v>0</v>
      </c>
      <c r="J11" s="29"/>
      <c r="K11" s="29"/>
      <c r="L11" s="29">
        <f>IFERROR((K11*(VLOOKUP(J11,Material!$B:$D,3,0)))/VLOOKUP(J11,Material!$B:$C,2,0),0)</f>
        <v>0</v>
      </c>
    </row>
    <row r="12" spans="2:12" ht="18.75" customHeight="1" x14ac:dyDescent="0.25">
      <c r="B12" s="69" t="s">
        <v>17</v>
      </c>
      <c r="C12" s="69"/>
      <c r="D12" s="69"/>
      <c r="F12" s="25"/>
      <c r="G12" s="25"/>
      <c r="H12" s="25">
        <f>IFERROR((G12*(VLOOKUP(F12,Material!$B:$D,3,0)))/VLOOKUP(F12,Material!$B:$C,2,0),0)</f>
        <v>0</v>
      </c>
      <c r="J12" s="29"/>
      <c r="K12" s="29"/>
      <c r="L12" s="29">
        <f>IFERROR((K12*(VLOOKUP(J12,Material!$B:$D,3,0)))/VLOOKUP(J12,Material!$B:$C,2,0),0)</f>
        <v>0</v>
      </c>
    </row>
    <row r="13" spans="2:12" x14ac:dyDescent="0.25">
      <c r="B13" s="70"/>
      <c r="C13" s="70"/>
      <c r="D13" s="70"/>
      <c r="F13" s="25"/>
      <c r="G13" s="25"/>
      <c r="H13" s="25">
        <f>IFERROR((G13*(VLOOKUP(F13,Material!$B:$D,3,0)))/VLOOKUP(F13,Material!$B:$C,2,0),0)</f>
        <v>0</v>
      </c>
      <c r="J13" s="29"/>
      <c r="K13" s="29"/>
      <c r="L13" s="29">
        <f>IFERROR((K13*(VLOOKUP(J13,Material!$B:$D,3,0)))/VLOOKUP(J13,Material!$B:$C,2,0),0)</f>
        <v>0</v>
      </c>
    </row>
    <row r="14" spans="2:12" ht="18.75" x14ac:dyDescent="0.3">
      <c r="B14" s="3" t="s">
        <v>13</v>
      </c>
      <c r="C14" s="3" t="s">
        <v>0</v>
      </c>
      <c r="D14" s="3" t="s">
        <v>14</v>
      </c>
      <c r="E14" s="14"/>
      <c r="F14" s="25"/>
      <c r="G14" s="25"/>
      <c r="H14" s="25">
        <f>IFERROR((G14*(VLOOKUP(F14,Material!$B:$D,3,0)))/VLOOKUP(F14,Material!$B:$C,2,0),0)</f>
        <v>0</v>
      </c>
      <c r="J14" s="29"/>
      <c r="K14" s="29"/>
      <c r="L14" s="29">
        <f>IFERROR((K14*(VLOOKUP(J14,Material!$B:$D,3,0)))/VLOOKUP(J14,Material!$B:$C,2,0),0)</f>
        <v>0</v>
      </c>
    </row>
    <row r="15" spans="2:12" ht="15" customHeight="1" x14ac:dyDescent="0.25">
      <c r="B15" s="23"/>
      <c r="C15" s="23"/>
      <c r="D15" s="23">
        <f>IFERROR((C15*(VLOOKUP(B15,Produto!$B:$D,3,0)))/VLOOKUP(B15,Produto!$B:$C,2,0),0)</f>
        <v>0</v>
      </c>
      <c r="E15" s="15"/>
      <c r="F15" s="25"/>
      <c r="G15" s="25"/>
      <c r="H15" s="25">
        <f>IFERROR((G15*(VLOOKUP(F15,Material!$B:$D,3,0)))/VLOOKUP(F15,Material!$B:$C,2,0),0)</f>
        <v>0</v>
      </c>
      <c r="J15" s="39"/>
      <c r="K15" s="29"/>
      <c r="L15" s="29">
        <f>IFERROR((K15*(VLOOKUP(J15,Material!$B:$D,3,0)))/VLOOKUP(J15,Material!$B:$C,2,0),0)</f>
        <v>0</v>
      </c>
    </row>
    <row r="16" spans="2:12" x14ac:dyDescent="0.25">
      <c r="B16" s="3" t="s">
        <v>16</v>
      </c>
      <c r="C16" s="57" t="s">
        <v>15</v>
      </c>
      <c r="D16" s="58"/>
      <c r="F16" s="13" t="s">
        <v>11</v>
      </c>
      <c r="G16" s="26">
        <v>0.3</v>
      </c>
      <c r="H16" s="25">
        <f>IFERROR((SUMIF(H5:H15,"&gt;0",H5:H15)*0.3),0)</f>
        <v>0</v>
      </c>
      <c r="J16" s="13" t="s">
        <v>11</v>
      </c>
      <c r="K16" s="30">
        <v>0.3</v>
      </c>
      <c r="L16" s="29">
        <f>IFERROR((SUMIF(L5:L15,"&gt;0",L5:L15)*0.3),0)</f>
        <v>0</v>
      </c>
    </row>
    <row r="17" spans="2:12" x14ac:dyDescent="0.25">
      <c r="B17" s="23"/>
      <c r="C17" s="63">
        <f>D15-B17</f>
        <v>0</v>
      </c>
      <c r="D17" s="64"/>
      <c r="F17" s="5" t="s">
        <v>3</v>
      </c>
      <c r="G17" s="27"/>
      <c r="H17" s="25">
        <f>IFERROR(SUMIF(H5:H16,"&gt;0",H5:H16),0)</f>
        <v>0</v>
      </c>
      <c r="J17" s="5" t="s">
        <v>3</v>
      </c>
      <c r="K17" s="31"/>
      <c r="L17" s="29">
        <f>IFERROR(SUMIF(L5:L16,"&gt;0",L5:L16),0)</f>
        <v>0</v>
      </c>
    </row>
    <row r="18" spans="2:12" x14ac:dyDescent="0.25">
      <c r="B18" s="24"/>
      <c r="C18" s="24"/>
      <c r="D18" s="24"/>
      <c r="F18" s="28"/>
      <c r="G18" s="28"/>
      <c r="H18" s="28"/>
      <c r="J18" s="32"/>
      <c r="K18" s="32"/>
      <c r="L18" s="32"/>
    </row>
    <row r="19" spans="2:12" x14ac:dyDescent="0.25">
      <c r="B19" s="24"/>
      <c r="C19" s="24"/>
      <c r="D19" s="24"/>
      <c r="F19" s="28"/>
      <c r="G19" s="28"/>
      <c r="H19" s="28"/>
      <c r="J19" s="32"/>
      <c r="K19" s="32"/>
      <c r="L19" s="32"/>
    </row>
    <row r="27" spans="2:12" x14ac:dyDescent="0.25">
      <c r="F27" s="19"/>
    </row>
  </sheetData>
  <sheetProtection sort="0" autoFilter="0" pivotTables="0"/>
  <mergeCells count="6">
    <mergeCell ref="C17:D17"/>
    <mergeCell ref="B2:D2"/>
    <mergeCell ref="F2:H2"/>
    <mergeCell ref="J2:L2"/>
    <mergeCell ref="C16:D16"/>
    <mergeCell ref="B12:D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TempCombo">
          <controlPr defaultSize="0" autoLine="0" linkedCell="$J$5" listFillRange="Material!$B:$B" r:id="rId5">
            <anchor moveWithCells="1">
              <from>
                <xdr:col>9</xdr:col>
                <xdr:colOff>0</xdr:colOff>
                <xdr:row>4</xdr:row>
                <xdr:rowOff>0</xdr:rowOff>
              </from>
              <to>
                <xdr:col>10</xdr:col>
                <xdr:colOff>66675</xdr:colOff>
                <xdr:row>5</xdr:row>
                <xdr:rowOff>66675</xdr:rowOff>
              </to>
            </anchor>
          </controlPr>
        </control>
      </mc:Choice>
      <mc:Fallback>
        <control shapeId="2050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E7D80-D176-4ED0-8BC9-E3C812C53667}">
          <x14:formula1>
            <xm:f>Material!$B:$B</xm:f>
          </x14:formula1>
          <xm:sqref>J14</xm:sqref>
        </x14:dataValidation>
        <x14:dataValidation type="list" allowBlank="1" showDropDown="1" showInputMessage="1" showErrorMessage="1" xr:uid="{96CE0ED2-E5C6-48BE-967C-299B3EAD38D4}">
          <x14:formula1>
            <xm:f>Material!$B:$B</xm:f>
          </x14:formula1>
          <xm:sqref>J6 J5 J7 J4 J8 J15 J9 J10 J12 J13 J11</xm:sqref>
        </x14:dataValidation>
        <x14:dataValidation type="list" allowBlank="1" showInputMessage="1" showErrorMessage="1" xr:uid="{473B22C1-782C-4C15-A4D6-724E249CA8CC}">
          <x14:formula1>
            <xm:f>Produto!$B:$B</xm:f>
          </x14:formula1>
          <xm:sqref>B15</xm:sqref>
        </x14:dataValidation>
        <x14:dataValidation type="list" allowBlank="1" showInputMessage="1" showErrorMessage="1" xr:uid="{26A7F654-3D74-4C95-8A88-2C07DE2C0E0A}">
          <x14:formula1>
            <xm:f>Material!B:B</xm:f>
          </x14:formula1>
          <xm:sqref>F15 F8:F13</xm:sqref>
        </x14:dataValidation>
        <x14:dataValidation type="list" allowBlank="1" showDropDown="1" showInputMessage="1" showErrorMessage="1" xr:uid="{2F3B5C9A-E51B-4BC5-B5E4-CCB9623372A1}">
          <x14:formula1>
            <xm:f>Material!B:B</xm:f>
          </x14:formula1>
          <xm:sqref>F5:F7 F14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19310-BE44-4113-ACF0-91A77081F942}">
  <sheetPr codeName="Planilha2">
    <tabColor rgb="FFC00000"/>
  </sheetPr>
  <dimension ref="B1:D109"/>
  <sheetViews>
    <sheetView workbookViewId="0">
      <selection activeCell="D3" sqref="D3"/>
    </sheetView>
  </sheetViews>
  <sheetFormatPr defaultRowHeight="15" x14ac:dyDescent="0.25"/>
  <cols>
    <col min="1" max="1" width="4.28515625" customWidth="1"/>
    <col min="2" max="2" width="38.85546875" customWidth="1"/>
    <col min="3" max="3" width="16" bestFit="1" customWidth="1"/>
    <col min="4" max="4" width="10.5703125" style="45" bestFit="1" customWidth="1"/>
  </cols>
  <sheetData>
    <row r="1" spans="2:4" ht="30.75" customHeight="1" x14ac:dyDescent="0.25"/>
    <row r="2" spans="2:4" x14ac:dyDescent="0.25">
      <c r="B2" s="7" t="s">
        <v>8</v>
      </c>
      <c r="C2" s="8" t="s">
        <v>0</v>
      </c>
      <c r="D2" s="47" t="s">
        <v>1</v>
      </c>
    </row>
    <row r="3" spans="2:4" x14ac:dyDescent="0.25">
      <c r="B3" s="42" t="s">
        <v>135</v>
      </c>
      <c r="C3" s="42">
        <v>700</v>
      </c>
      <c r="D3" s="48">
        <v>19.349654999999998</v>
      </c>
    </row>
    <row r="4" spans="2:4" x14ac:dyDescent="0.25">
      <c r="B4" s="42" t="s">
        <v>32</v>
      </c>
      <c r="C4" s="42">
        <v>395</v>
      </c>
      <c r="D4" s="48">
        <v>5.3</v>
      </c>
    </row>
    <row r="5" spans="2:4" x14ac:dyDescent="0.25">
      <c r="B5" s="42" t="s">
        <v>26</v>
      </c>
      <c r="C5" s="42">
        <v>200</v>
      </c>
      <c r="D5" s="48">
        <v>3.09</v>
      </c>
    </row>
    <row r="6" spans="2:4" x14ac:dyDescent="0.25">
      <c r="B6" s="42" t="s">
        <v>33</v>
      </c>
      <c r="C6" s="42">
        <v>200</v>
      </c>
      <c r="D6" s="48">
        <v>1.59</v>
      </c>
    </row>
    <row r="7" spans="2:4" x14ac:dyDescent="0.25">
      <c r="B7" s="42" t="s">
        <v>34</v>
      </c>
      <c r="C7" s="42">
        <v>300</v>
      </c>
      <c r="D7" s="48">
        <v>4.09</v>
      </c>
    </row>
    <row r="8" spans="2:4" x14ac:dyDescent="0.25">
      <c r="B8" s="42" t="s">
        <v>35</v>
      </c>
      <c r="C8" s="42">
        <v>1000</v>
      </c>
      <c r="D8" s="48">
        <v>6.89</v>
      </c>
    </row>
    <row r="9" spans="2:4" x14ac:dyDescent="0.25">
      <c r="B9" s="42" t="s">
        <v>36</v>
      </c>
      <c r="C9" s="42">
        <v>1000</v>
      </c>
      <c r="D9" s="48">
        <v>14.5</v>
      </c>
    </row>
    <row r="10" spans="2:4" x14ac:dyDescent="0.25">
      <c r="B10" s="42" t="s">
        <v>37</v>
      </c>
      <c r="C10" s="42">
        <v>500</v>
      </c>
      <c r="D10" s="48">
        <v>18.899999999999999</v>
      </c>
    </row>
    <row r="11" spans="2:4" x14ac:dyDescent="0.25">
      <c r="B11" s="42" t="s">
        <v>38</v>
      </c>
      <c r="C11" s="42">
        <v>400</v>
      </c>
      <c r="D11" s="48">
        <v>7.75</v>
      </c>
    </row>
    <row r="12" spans="2:4" x14ac:dyDescent="0.25">
      <c r="B12" s="42" t="s">
        <v>39</v>
      </c>
      <c r="C12" s="42">
        <v>100</v>
      </c>
      <c r="D12" s="48">
        <v>4.4000000000000004</v>
      </c>
    </row>
    <row r="13" spans="2:4" x14ac:dyDescent="0.25">
      <c r="B13" s="42" t="s">
        <v>40</v>
      </c>
      <c r="C13" s="42">
        <v>10</v>
      </c>
      <c r="D13" s="48">
        <v>1.19</v>
      </c>
    </row>
    <row r="14" spans="2:4" x14ac:dyDescent="0.25">
      <c r="B14" s="42" t="s">
        <v>41</v>
      </c>
      <c r="C14" s="42">
        <v>30</v>
      </c>
      <c r="D14" s="48">
        <v>8.65</v>
      </c>
    </row>
    <row r="15" spans="2:4" x14ac:dyDescent="0.25">
      <c r="B15" s="42" t="s">
        <v>42</v>
      </c>
      <c r="C15" s="42">
        <v>30</v>
      </c>
      <c r="D15" s="48">
        <v>4.5</v>
      </c>
    </row>
    <row r="16" spans="2:4" x14ac:dyDescent="0.25">
      <c r="B16" s="42" t="s">
        <v>43</v>
      </c>
      <c r="C16" s="42">
        <v>1010</v>
      </c>
      <c r="D16" s="48">
        <v>30.89</v>
      </c>
    </row>
    <row r="17" spans="2:4" x14ac:dyDescent="0.25">
      <c r="B17" s="42" t="s">
        <v>44</v>
      </c>
      <c r="C17" s="42">
        <v>500</v>
      </c>
      <c r="D17" s="48">
        <v>23.49</v>
      </c>
    </row>
    <row r="18" spans="2:4" x14ac:dyDescent="0.25">
      <c r="B18" s="42" t="s">
        <v>45</v>
      </c>
      <c r="C18" s="42">
        <v>820</v>
      </c>
      <c r="D18" s="48">
        <v>20.67</v>
      </c>
    </row>
    <row r="19" spans="2:4" x14ac:dyDescent="0.25">
      <c r="B19" s="42" t="s">
        <v>46</v>
      </c>
      <c r="C19" s="42">
        <v>1000</v>
      </c>
      <c r="D19" s="48">
        <v>11.21</v>
      </c>
    </row>
    <row r="20" spans="2:4" x14ac:dyDescent="0.25">
      <c r="B20" s="42" t="s">
        <v>47</v>
      </c>
      <c r="C20" s="42">
        <v>900</v>
      </c>
      <c r="D20" s="48">
        <v>14.26</v>
      </c>
    </row>
    <row r="21" spans="2:4" x14ac:dyDescent="0.25">
      <c r="B21" s="42" t="s">
        <v>48</v>
      </c>
      <c r="C21" s="42">
        <v>500</v>
      </c>
      <c r="D21" s="48">
        <v>7.5</v>
      </c>
    </row>
    <row r="22" spans="2:4" x14ac:dyDescent="0.25">
      <c r="B22" s="42" t="s">
        <v>49</v>
      </c>
      <c r="C22" s="42">
        <v>1010</v>
      </c>
      <c r="D22" s="48">
        <v>38.79</v>
      </c>
    </row>
    <row r="23" spans="2:4" x14ac:dyDescent="0.25">
      <c r="B23" s="43" t="s">
        <v>50</v>
      </c>
      <c r="C23" s="42">
        <v>24</v>
      </c>
      <c r="D23" s="48">
        <v>9.9600000000000009</v>
      </c>
    </row>
    <row r="24" spans="2:4" x14ac:dyDescent="0.25">
      <c r="B24" s="43" t="s">
        <v>51</v>
      </c>
      <c r="C24" s="42">
        <v>20</v>
      </c>
      <c r="D24" s="48">
        <v>1.19</v>
      </c>
    </row>
    <row r="25" spans="2:4" x14ac:dyDescent="0.25">
      <c r="B25" s="43" t="s">
        <v>52</v>
      </c>
      <c r="C25" s="42">
        <v>100</v>
      </c>
      <c r="D25" s="48">
        <v>2.69</v>
      </c>
    </row>
    <row r="26" spans="2:4" x14ac:dyDescent="0.25">
      <c r="B26" s="43" t="s">
        <v>53</v>
      </c>
      <c r="C26" s="42">
        <v>380</v>
      </c>
      <c r="D26" s="48">
        <v>14.99</v>
      </c>
    </row>
    <row r="27" spans="2:4" x14ac:dyDescent="0.25">
      <c r="B27" s="43" t="s">
        <v>54</v>
      </c>
      <c r="C27" s="42">
        <v>2000</v>
      </c>
      <c r="D27" s="48">
        <v>30.3</v>
      </c>
    </row>
    <row r="28" spans="2:4" x14ac:dyDescent="0.25">
      <c r="B28" s="43" t="s">
        <v>55</v>
      </c>
      <c r="C28" s="42">
        <v>1010</v>
      </c>
      <c r="D28" s="48">
        <v>38.79</v>
      </c>
    </row>
    <row r="29" spans="2:4" x14ac:dyDescent="0.25">
      <c r="B29" s="43" t="s">
        <v>56</v>
      </c>
      <c r="C29" s="42">
        <v>100</v>
      </c>
      <c r="D29" s="48">
        <v>7</v>
      </c>
    </row>
    <row r="30" spans="2:4" x14ac:dyDescent="0.25">
      <c r="B30" s="42" t="s">
        <v>57</v>
      </c>
      <c r="C30" s="42">
        <v>1000</v>
      </c>
      <c r="D30" s="48">
        <v>3.05</v>
      </c>
    </row>
    <row r="31" spans="2:4" x14ac:dyDescent="0.25">
      <c r="B31" s="42" t="s">
        <v>58</v>
      </c>
      <c r="C31" s="42">
        <v>5000</v>
      </c>
      <c r="D31" s="48">
        <v>12.49</v>
      </c>
    </row>
    <row r="32" spans="2:4" x14ac:dyDescent="0.25">
      <c r="B32" s="42" t="s">
        <v>59</v>
      </c>
      <c r="C32" s="42">
        <v>400</v>
      </c>
      <c r="D32" s="48">
        <v>3.49</v>
      </c>
    </row>
    <row r="33" spans="2:4" x14ac:dyDescent="0.25">
      <c r="B33" s="42" t="s">
        <v>60</v>
      </c>
      <c r="C33" s="42">
        <v>300</v>
      </c>
      <c r="D33" s="48">
        <v>3.55</v>
      </c>
    </row>
    <row r="34" spans="2:4" x14ac:dyDescent="0.25">
      <c r="B34" s="42" t="s">
        <v>61</v>
      </c>
      <c r="C34" s="42">
        <v>130</v>
      </c>
      <c r="D34" s="48">
        <v>6.29</v>
      </c>
    </row>
    <row r="35" spans="2:4" x14ac:dyDescent="0.25">
      <c r="B35" s="42" t="s">
        <v>62</v>
      </c>
      <c r="C35" s="42">
        <v>200</v>
      </c>
      <c r="D35" s="48">
        <v>6.29</v>
      </c>
    </row>
    <row r="36" spans="2:4" x14ac:dyDescent="0.25">
      <c r="B36" s="42" t="s">
        <v>63</v>
      </c>
      <c r="C36" s="42">
        <v>350</v>
      </c>
      <c r="D36" s="48">
        <v>21.29</v>
      </c>
    </row>
    <row r="37" spans="2:4" x14ac:dyDescent="0.25">
      <c r="B37" s="42" t="s">
        <v>64</v>
      </c>
      <c r="C37" s="42">
        <v>20</v>
      </c>
      <c r="D37" s="48">
        <v>10.199999999999999</v>
      </c>
    </row>
    <row r="38" spans="2:4" x14ac:dyDescent="0.25">
      <c r="B38" s="42" t="s">
        <v>65</v>
      </c>
      <c r="C38" s="42">
        <v>900</v>
      </c>
      <c r="D38" s="48">
        <v>8.49</v>
      </c>
    </row>
    <row r="39" spans="2:4" x14ac:dyDescent="0.25">
      <c r="B39" s="42" t="s">
        <v>66</v>
      </c>
      <c r="C39" s="42">
        <v>318</v>
      </c>
      <c r="D39" s="48">
        <v>3.5</v>
      </c>
    </row>
    <row r="40" spans="2:4" x14ac:dyDescent="0.25">
      <c r="B40" s="42" t="s">
        <v>67</v>
      </c>
      <c r="C40" s="42">
        <v>1000</v>
      </c>
      <c r="D40" s="48">
        <v>18.5</v>
      </c>
    </row>
    <row r="41" spans="2:4" x14ac:dyDescent="0.25">
      <c r="B41" s="42" t="s">
        <v>68</v>
      </c>
      <c r="C41" s="42">
        <v>1000</v>
      </c>
      <c r="D41" s="48">
        <v>4.9800000000000004</v>
      </c>
    </row>
    <row r="42" spans="2:4" x14ac:dyDescent="0.25">
      <c r="B42" s="42" t="s">
        <v>69</v>
      </c>
      <c r="C42" s="42">
        <v>1000</v>
      </c>
      <c r="D42" s="48">
        <v>11.98</v>
      </c>
    </row>
    <row r="43" spans="2:4" x14ac:dyDescent="0.25">
      <c r="B43" s="42" t="s">
        <v>70</v>
      </c>
      <c r="C43" s="42">
        <v>320</v>
      </c>
      <c r="D43" s="48">
        <v>1.1499999999999999</v>
      </c>
    </row>
    <row r="44" spans="2:4" x14ac:dyDescent="0.25">
      <c r="B44" s="42" t="s">
        <v>71</v>
      </c>
      <c r="C44" s="42">
        <v>1000</v>
      </c>
      <c r="D44" s="48">
        <v>3.59</v>
      </c>
    </row>
    <row r="45" spans="2:4" x14ac:dyDescent="0.25">
      <c r="B45" s="42" t="s">
        <v>72</v>
      </c>
      <c r="C45" s="42">
        <v>200</v>
      </c>
      <c r="D45" s="48">
        <v>5.99</v>
      </c>
    </row>
    <row r="46" spans="2:4" x14ac:dyDescent="0.25">
      <c r="B46" s="42" t="s">
        <v>73</v>
      </c>
      <c r="C46" s="42">
        <v>170</v>
      </c>
      <c r="D46" s="48">
        <v>2.65</v>
      </c>
    </row>
    <row r="47" spans="2:4" x14ac:dyDescent="0.25">
      <c r="B47" s="42" t="s">
        <v>74</v>
      </c>
      <c r="C47" s="42">
        <v>280</v>
      </c>
      <c r="D47" s="48">
        <v>7.9</v>
      </c>
    </row>
    <row r="48" spans="2:4" x14ac:dyDescent="0.25">
      <c r="B48" s="42" t="s">
        <v>75</v>
      </c>
      <c r="C48" s="42">
        <v>60</v>
      </c>
      <c r="D48" s="48">
        <v>2.59</v>
      </c>
    </row>
    <row r="49" spans="2:4" x14ac:dyDescent="0.25">
      <c r="B49" s="42" t="s">
        <v>76</v>
      </c>
      <c r="C49" s="42">
        <v>400</v>
      </c>
      <c r="D49" s="48">
        <v>12.7</v>
      </c>
    </row>
    <row r="50" spans="2:4" x14ac:dyDescent="0.25">
      <c r="B50" s="42" t="s">
        <v>72</v>
      </c>
      <c r="C50" s="42">
        <v>400</v>
      </c>
      <c r="D50" s="48">
        <v>14.1</v>
      </c>
    </row>
    <row r="51" spans="2:4" x14ac:dyDescent="0.25">
      <c r="B51" s="42" t="s">
        <v>77</v>
      </c>
      <c r="C51" s="42">
        <v>1000</v>
      </c>
      <c r="D51" s="48">
        <v>1.79</v>
      </c>
    </row>
    <row r="52" spans="2:4" x14ac:dyDescent="0.25">
      <c r="B52" s="43" t="s">
        <v>25</v>
      </c>
      <c r="C52" s="42">
        <v>1000</v>
      </c>
      <c r="D52" s="48">
        <v>8.99</v>
      </c>
    </row>
    <row r="53" spans="2:4" x14ac:dyDescent="0.25">
      <c r="B53" s="43" t="s">
        <v>78</v>
      </c>
      <c r="C53" s="42">
        <v>500</v>
      </c>
      <c r="D53" s="48">
        <v>7.45</v>
      </c>
    </row>
    <row r="54" spans="2:4" x14ac:dyDescent="0.25">
      <c r="B54" s="43" t="s">
        <v>79</v>
      </c>
      <c r="C54" s="42">
        <v>150</v>
      </c>
      <c r="D54" s="48">
        <v>11.99</v>
      </c>
    </row>
    <row r="55" spans="2:4" x14ac:dyDescent="0.25">
      <c r="B55" s="43" t="s">
        <v>80</v>
      </c>
      <c r="C55" s="42">
        <v>50</v>
      </c>
      <c r="D55" s="48">
        <v>4.3899999999999997</v>
      </c>
    </row>
    <row r="56" spans="2:4" x14ac:dyDescent="0.25">
      <c r="B56" s="43" t="s">
        <v>81</v>
      </c>
      <c r="C56" s="42">
        <v>400</v>
      </c>
      <c r="D56" s="48">
        <v>8.49</v>
      </c>
    </row>
    <row r="57" spans="2:4" x14ac:dyDescent="0.25">
      <c r="B57" s="43" t="s">
        <v>82</v>
      </c>
      <c r="C57" s="42">
        <v>500</v>
      </c>
      <c r="D57" s="48">
        <v>6.65</v>
      </c>
    </row>
    <row r="58" spans="2:4" x14ac:dyDescent="0.25">
      <c r="B58" s="43" t="s">
        <v>83</v>
      </c>
      <c r="C58" s="42">
        <v>1000</v>
      </c>
      <c r="D58" s="49">
        <v>8.2200000000000006</v>
      </c>
    </row>
    <row r="59" spans="2:4" x14ac:dyDescent="0.25">
      <c r="B59" s="43" t="s">
        <v>84</v>
      </c>
      <c r="C59" s="42">
        <v>2120</v>
      </c>
      <c r="D59" s="49">
        <v>41.47</v>
      </c>
    </row>
    <row r="60" spans="2:4" x14ac:dyDescent="0.25">
      <c r="B60" s="43" t="s">
        <v>85</v>
      </c>
      <c r="C60" s="42">
        <v>900</v>
      </c>
      <c r="D60" s="49">
        <v>17.87</v>
      </c>
    </row>
    <row r="61" spans="2:4" x14ac:dyDescent="0.25">
      <c r="B61" s="43" t="s">
        <v>86</v>
      </c>
      <c r="C61" s="42">
        <v>940</v>
      </c>
      <c r="D61" s="49">
        <v>16.95</v>
      </c>
    </row>
    <row r="62" spans="2:4" x14ac:dyDescent="0.25">
      <c r="B62" s="43" t="s">
        <v>87</v>
      </c>
      <c r="C62" s="42">
        <v>500</v>
      </c>
      <c r="D62" s="48">
        <v>6.99</v>
      </c>
    </row>
    <row r="63" spans="2:4" x14ac:dyDescent="0.25">
      <c r="B63" s="43" t="s">
        <v>88</v>
      </c>
      <c r="C63" s="42">
        <v>250</v>
      </c>
      <c r="D63" s="48">
        <v>6</v>
      </c>
    </row>
    <row r="64" spans="2:4" x14ac:dyDescent="0.25">
      <c r="B64" s="43" t="s">
        <v>89</v>
      </c>
      <c r="C64" s="42">
        <v>1000</v>
      </c>
      <c r="D64" s="48">
        <v>35.9</v>
      </c>
    </row>
    <row r="65" spans="2:4" x14ac:dyDescent="0.25">
      <c r="B65" s="44" t="s">
        <v>90</v>
      </c>
      <c r="C65" s="44">
        <v>14</v>
      </c>
      <c r="D65" s="50">
        <v>7.94</v>
      </c>
    </row>
    <row r="66" spans="2:4" x14ac:dyDescent="0.25">
      <c r="B66" s="42" t="s">
        <v>91</v>
      </c>
      <c r="C66" s="42">
        <v>1000</v>
      </c>
      <c r="D66" s="48">
        <v>22.3</v>
      </c>
    </row>
    <row r="67" spans="2:4" x14ac:dyDescent="0.25">
      <c r="B67" s="42" t="s">
        <v>92</v>
      </c>
      <c r="C67" s="42">
        <v>270</v>
      </c>
      <c r="D67" s="48">
        <v>8.89</v>
      </c>
    </row>
    <row r="68" spans="2:4" x14ac:dyDescent="0.25">
      <c r="B68" s="42" t="s">
        <v>93</v>
      </c>
      <c r="C68" s="42">
        <v>250</v>
      </c>
      <c r="D68" s="48">
        <v>13.3</v>
      </c>
    </row>
    <row r="69" spans="2:4" x14ac:dyDescent="0.25">
      <c r="B69" s="42" t="s">
        <v>94</v>
      </c>
      <c r="C69" s="42">
        <v>3000</v>
      </c>
      <c r="D69" s="48">
        <v>34</v>
      </c>
    </row>
    <row r="70" spans="2:4" x14ac:dyDescent="0.25">
      <c r="B70" s="42" t="s">
        <v>95</v>
      </c>
      <c r="C70" s="42">
        <v>200</v>
      </c>
      <c r="D70" s="48">
        <v>5.5</v>
      </c>
    </row>
    <row r="71" spans="2:4" x14ac:dyDescent="0.25">
      <c r="B71" s="42" t="s">
        <v>96</v>
      </c>
      <c r="C71" s="42">
        <v>1000</v>
      </c>
      <c r="D71" s="48">
        <v>9.9</v>
      </c>
    </row>
    <row r="72" spans="2:4" x14ac:dyDescent="0.25">
      <c r="B72" s="42" t="s">
        <v>97</v>
      </c>
      <c r="C72" s="42">
        <v>930</v>
      </c>
      <c r="D72" s="48">
        <v>12.3</v>
      </c>
    </row>
    <row r="73" spans="2:4" x14ac:dyDescent="0.25">
      <c r="B73" s="42" t="s">
        <v>98</v>
      </c>
      <c r="C73" s="42">
        <v>800</v>
      </c>
      <c r="D73" s="48">
        <v>19.2</v>
      </c>
    </row>
    <row r="74" spans="2:4" x14ac:dyDescent="0.25">
      <c r="B74" s="42" t="s">
        <v>99</v>
      </c>
      <c r="C74" s="42">
        <v>750</v>
      </c>
      <c r="D74" s="48">
        <v>29.99</v>
      </c>
    </row>
    <row r="75" spans="2:4" x14ac:dyDescent="0.25">
      <c r="B75" s="42" t="s">
        <v>100</v>
      </c>
      <c r="C75" s="42">
        <v>500</v>
      </c>
      <c r="D75" s="48">
        <v>14.2</v>
      </c>
    </row>
    <row r="76" spans="2:4" x14ac:dyDescent="0.25">
      <c r="B76" s="42" t="s">
        <v>101</v>
      </c>
      <c r="C76" s="42">
        <v>1000</v>
      </c>
      <c r="D76" s="48">
        <v>15.95</v>
      </c>
    </row>
    <row r="77" spans="2:4" x14ac:dyDescent="0.25">
      <c r="B77" s="42" t="s">
        <v>102</v>
      </c>
      <c r="C77" s="42">
        <v>1000</v>
      </c>
      <c r="D77" s="48">
        <v>15.95</v>
      </c>
    </row>
    <row r="78" spans="2:4" x14ac:dyDescent="0.25">
      <c r="B78" s="42" t="s">
        <v>103</v>
      </c>
      <c r="C78" s="42">
        <v>320</v>
      </c>
      <c r="D78" s="48">
        <v>1.89</v>
      </c>
    </row>
    <row r="79" spans="2:4" x14ac:dyDescent="0.25">
      <c r="B79" s="42" t="s">
        <v>104</v>
      </c>
      <c r="C79" s="42">
        <v>1000</v>
      </c>
      <c r="D79" s="48">
        <v>3.34</v>
      </c>
    </row>
    <row r="80" spans="2:4" x14ac:dyDescent="0.25">
      <c r="B80" s="44" t="s">
        <v>105</v>
      </c>
      <c r="C80" s="44">
        <v>10</v>
      </c>
      <c r="D80" s="50">
        <v>14.65</v>
      </c>
    </row>
    <row r="81" spans="2:4" x14ac:dyDescent="0.25">
      <c r="B81" s="44" t="s">
        <v>106</v>
      </c>
      <c r="C81" s="44">
        <v>1200</v>
      </c>
      <c r="D81" s="50">
        <v>32.979999999999997</v>
      </c>
    </row>
    <row r="82" spans="2:4" x14ac:dyDescent="0.25">
      <c r="B82" s="44" t="s">
        <v>107</v>
      </c>
      <c r="C82" s="44">
        <v>1200</v>
      </c>
      <c r="D82" s="50">
        <v>36.79</v>
      </c>
    </row>
    <row r="83" spans="2:4" x14ac:dyDescent="0.25">
      <c r="B83" s="44" t="s">
        <v>34</v>
      </c>
      <c r="C83" s="44">
        <v>1200</v>
      </c>
      <c r="D83" s="50">
        <v>34.36</v>
      </c>
    </row>
    <row r="84" spans="2:4" x14ac:dyDescent="0.25">
      <c r="B84" s="44" t="s">
        <v>108</v>
      </c>
      <c r="C84" s="44">
        <v>500</v>
      </c>
      <c r="D84" s="50">
        <v>15</v>
      </c>
    </row>
    <row r="85" spans="2:4" x14ac:dyDescent="0.25">
      <c r="B85" s="44" t="s">
        <v>109</v>
      </c>
      <c r="C85" s="44">
        <v>1000</v>
      </c>
      <c r="D85" s="50">
        <v>29.9</v>
      </c>
    </row>
    <row r="86" spans="2:4" x14ac:dyDescent="0.25">
      <c r="B86" s="44" t="s">
        <v>110</v>
      </c>
      <c r="C86" s="44">
        <v>1000</v>
      </c>
      <c r="D86" s="50">
        <v>12.99</v>
      </c>
    </row>
    <row r="87" spans="2:4" x14ac:dyDescent="0.25">
      <c r="B87" s="44" t="s">
        <v>111</v>
      </c>
      <c r="C87" s="44">
        <v>1750</v>
      </c>
      <c r="D87" s="50">
        <v>38.15</v>
      </c>
    </row>
    <row r="88" spans="2:4" x14ac:dyDescent="0.25">
      <c r="B88" s="44" t="s">
        <v>112</v>
      </c>
      <c r="C88" s="44">
        <v>3600</v>
      </c>
      <c r="D88" s="50">
        <v>142.78</v>
      </c>
    </row>
    <row r="89" spans="2:4" x14ac:dyDescent="0.25">
      <c r="B89" s="44" t="s">
        <v>113</v>
      </c>
      <c r="C89" s="44">
        <v>1000</v>
      </c>
      <c r="D89" s="50">
        <v>17</v>
      </c>
    </row>
    <row r="90" spans="2:4" x14ac:dyDescent="0.25">
      <c r="B90" s="44" t="s">
        <v>114</v>
      </c>
      <c r="C90" s="44">
        <v>1</v>
      </c>
      <c r="D90" s="50">
        <v>1</v>
      </c>
    </row>
    <row r="91" spans="2:4" x14ac:dyDescent="0.25">
      <c r="B91" s="44" t="s">
        <v>115</v>
      </c>
      <c r="C91" s="44">
        <v>2000</v>
      </c>
      <c r="D91" s="50">
        <v>13.43</v>
      </c>
    </row>
    <row r="92" spans="2:4" x14ac:dyDescent="0.25">
      <c r="B92" s="44" t="s">
        <v>116</v>
      </c>
      <c r="C92" s="44">
        <v>140</v>
      </c>
      <c r="D92" s="50">
        <v>8.5</v>
      </c>
    </row>
    <row r="93" spans="2:4" x14ac:dyDescent="0.25">
      <c r="B93" s="44" t="s">
        <v>117</v>
      </c>
      <c r="C93" s="44">
        <v>500</v>
      </c>
      <c r="D93" s="50">
        <v>13.6</v>
      </c>
    </row>
    <row r="94" spans="2:4" x14ac:dyDescent="0.25">
      <c r="B94" s="44" t="s">
        <v>118</v>
      </c>
      <c r="C94" s="44">
        <v>100</v>
      </c>
      <c r="D94" s="50">
        <v>11.99</v>
      </c>
    </row>
    <row r="95" spans="2:4" x14ac:dyDescent="0.25">
      <c r="B95" s="44" t="s">
        <v>119</v>
      </c>
      <c r="C95" s="44">
        <v>12</v>
      </c>
      <c r="D95" s="50">
        <v>4</v>
      </c>
    </row>
    <row r="96" spans="2:4" x14ac:dyDescent="0.25">
      <c r="B96" s="44" t="s">
        <v>120</v>
      </c>
      <c r="C96" s="44">
        <v>500</v>
      </c>
      <c r="D96" s="50">
        <v>4.08</v>
      </c>
    </row>
    <row r="97" spans="2:4" x14ac:dyDescent="0.25">
      <c r="B97" s="44" t="s">
        <v>121</v>
      </c>
      <c r="C97" s="44">
        <v>1200</v>
      </c>
      <c r="D97" s="50">
        <v>39.65</v>
      </c>
    </row>
    <row r="98" spans="2:4" x14ac:dyDescent="0.25">
      <c r="B98" s="44" t="s">
        <v>126</v>
      </c>
      <c r="C98" s="44">
        <v>50</v>
      </c>
      <c r="D98" s="50">
        <v>11.5</v>
      </c>
    </row>
    <row r="99" spans="2:4" x14ac:dyDescent="0.25">
      <c r="B99" s="44" t="s">
        <v>127</v>
      </c>
      <c r="C99" s="44">
        <v>50</v>
      </c>
      <c r="D99" s="50">
        <v>17</v>
      </c>
    </row>
    <row r="100" spans="2:4" x14ac:dyDescent="0.25">
      <c r="B100" s="44" t="s">
        <v>128</v>
      </c>
      <c r="C100" s="44">
        <v>50</v>
      </c>
      <c r="D100" s="50">
        <v>1.7</v>
      </c>
    </row>
    <row r="101" spans="2:4" x14ac:dyDescent="0.25">
      <c r="B101" s="42" t="s">
        <v>129</v>
      </c>
      <c r="C101" s="42">
        <v>20</v>
      </c>
      <c r="D101" s="48">
        <v>14</v>
      </c>
    </row>
    <row r="102" spans="2:4" x14ac:dyDescent="0.25">
      <c r="B102" s="42" t="s">
        <v>122</v>
      </c>
      <c r="C102" s="42">
        <v>5</v>
      </c>
      <c r="D102" s="48">
        <v>4.6500000000000004</v>
      </c>
    </row>
    <row r="103" spans="2:4" x14ac:dyDescent="0.25">
      <c r="B103" s="42" t="s">
        <v>130</v>
      </c>
      <c r="C103" s="42">
        <v>24</v>
      </c>
      <c r="D103" s="48">
        <v>7</v>
      </c>
    </row>
    <row r="104" spans="2:4" x14ac:dyDescent="0.25">
      <c r="B104" s="42" t="s">
        <v>131</v>
      </c>
      <c r="C104" s="42">
        <v>50</v>
      </c>
      <c r="D104" s="48">
        <v>4.75</v>
      </c>
    </row>
    <row r="105" spans="2:4" x14ac:dyDescent="0.25">
      <c r="B105" s="42" t="s">
        <v>123</v>
      </c>
      <c r="C105" s="42">
        <v>500</v>
      </c>
      <c r="D105" s="48">
        <v>17</v>
      </c>
    </row>
    <row r="106" spans="2:4" x14ac:dyDescent="0.25">
      <c r="B106" s="42" t="s">
        <v>132</v>
      </c>
      <c r="C106" s="42">
        <v>40</v>
      </c>
      <c r="D106" s="48">
        <v>22.8</v>
      </c>
    </row>
    <row r="107" spans="2:4" x14ac:dyDescent="0.25">
      <c r="B107" s="42" t="s">
        <v>133</v>
      </c>
      <c r="C107" s="42">
        <v>25</v>
      </c>
      <c r="D107" s="48">
        <v>5.5</v>
      </c>
    </row>
    <row r="108" spans="2:4" x14ac:dyDescent="0.25">
      <c r="B108" s="42" t="s">
        <v>124</v>
      </c>
      <c r="C108" s="42">
        <v>25</v>
      </c>
      <c r="D108" s="48">
        <v>12.75</v>
      </c>
    </row>
    <row r="109" spans="2:4" x14ac:dyDescent="0.25">
      <c r="B109" s="44" t="s">
        <v>125</v>
      </c>
      <c r="C109" s="42">
        <v>5</v>
      </c>
      <c r="D109" s="48">
        <v>8</v>
      </c>
    </row>
  </sheetData>
  <sheetProtection sort="0" autoFilter="0" pivotTables="0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13F8-BA00-40CE-9011-ABBBA782EC02}">
  <sheetPr codeName="Planilha3">
    <tabColor rgb="FFC00000"/>
  </sheetPr>
  <dimension ref="B1:D2"/>
  <sheetViews>
    <sheetView workbookViewId="0">
      <selection activeCell="A3" sqref="A3:XFD3"/>
    </sheetView>
  </sheetViews>
  <sheetFormatPr defaultRowHeight="15" x14ac:dyDescent="0.25"/>
  <cols>
    <col min="1" max="1" width="4.28515625" customWidth="1"/>
    <col min="2" max="2" width="38.85546875" customWidth="1"/>
    <col min="3" max="3" width="16" bestFit="1" customWidth="1"/>
    <col min="4" max="4" width="10.28515625" style="45" bestFit="1" customWidth="1"/>
  </cols>
  <sheetData>
    <row r="1" spans="2:4" ht="30.75" customHeight="1" x14ac:dyDescent="0.25"/>
    <row r="2" spans="2:4" x14ac:dyDescent="0.25">
      <c r="B2" s="10" t="s">
        <v>12</v>
      </c>
      <c r="C2" s="10" t="s">
        <v>0</v>
      </c>
      <c r="D2" s="46" t="s"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114F-7A40-4715-A511-B8BEF2C634F2}">
  <sheetPr codeName="Planilha4">
    <tabColor rgb="FFC00000"/>
  </sheetPr>
  <dimension ref="B1:D4"/>
  <sheetViews>
    <sheetView workbookViewId="0">
      <selection activeCell="I20" sqref="I20"/>
    </sheetView>
  </sheetViews>
  <sheetFormatPr defaultRowHeight="15" x14ac:dyDescent="0.25"/>
  <cols>
    <col min="1" max="1" width="4.28515625" customWidth="1"/>
    <col min="2" max="2" width="38.85546875" customWidth="1"/>
    <col min="3" max="3" width="16" bestFit="1" customWidth="1"/>
    <col min="4" max="4" width="10.28515625" style="45" bestFit="1" customWidth="1"/>
  </cols>
  <sheetData>
    <row r="1" spans="2:4" ht="30.75" customHeight="1" x14ac:dyDescent="0.25"/>
    <row r="2" spans="2:4" x14ac:dyDescent="0.25">
      <c r="B2" s="10" t="s">
        <v>13</v>
      </c>
      <c r="C2" s="10" t="s">
        <v>0</v>
      </c>
      <c r="D2" s="46" t="s">
        <v>1</v>
      </c>
    </row>
    <row r="3" spans="2:4" x14ac:dyDescent="0.25">
      <c r="B3" s="91"/>
      <c r="C3" s="91"/>
      <c r="D3" s="92"/>
    </row>
    <row r="4" spans="2:4" x14ac:dyDescent="0.25">
      <c r="C4" s="1"/>
      <c r="D4" s="51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53177-35E6-4886-B812-D7AFD593C48A}">
  <sheetPr codeName="Planilha6">
    <tabColor rgb="FFC00000"/>
  </sheetPr>
  <dimension ref="B1:H4"/>
  <sheetViews>
    <sheetView zoomScale="78" zoomScaleNormal="78" workbookViewId="0">
      <selection activeCell="F29" sqref="F29"/>
    </sheetView>
  </sheetViews>
  <sheetFormatPr defaultRowHeight="15" x14ac:dyDescent="0.25"/>
  <cols>
    <col min="1" max="1" width="4.28515625" customWidth="1"/>
    <col min="2" max="2" width="12.5703125" style="80" bestFit="1" customWidth="1"/>
    <col min="3" max="3" width="38.85546875" customWidth="1"/>
    <col min="4" max="4" width="16" bestFit="1" customWidth="1"/>
    <col min="5" max="5" width="16" customWidth="1"/>
    <col min="6" max="6" width="13" style="45" bestFit="1" customWidth="1"/>
    <col min="7" max="7" width="15.5703125" style="88" bestFit="1" customWidth="1"/>
    <col min="8" max="8" width="13" style="45" bestFit="1" customWidth="1"/>
  </cols>
  <sheetData>
    <row r="1" spans="2:8" ht="30.75" customHeight="1" x14ac:dyDescent="0.25"/>
    <row r="2" spans="2:8" x14ac:dyDescent="0.25">
      <c r="B2" s="81" t="s">
        <v>27</v>
      </c>
      <c r="C2" s="7" t="s">
        <v>13</v>
      </c>
      <c r="D2" s="8" t="s">
        <v>30</v>
      </c>
      <c r="E2" s="9" t="s">
        <v>31</v>
      </c>
      <c r="F2" s="47" t="s">
        <v>14</v>
      </c>
      <c r="G2" s="89" t="s">
        <v>29</v>
      </c>
      <c r="H2" s="54" t="s">
        <v>15</v>
      </c>
    </row>
    <row r="3" spans="2:8" x14ac:dyDescent="0.25">
      <c r="B3" s="82"/>
      <c r="C3" s="11"/>
      <c r="D3" s="12"/>
      <c r="E3" s="12"/>
      <c r="F3" s="52"/>
      <c r="G3" s="87"/>
      <c r="H3" s="52"/>
    </row>
    <row r="4" spans="2:8" x14ac:dyDescent="0.25">
      <c r="B4" s="83"/>
      <c r="C4" s="6"/>
      <c r="D4" s="6"/>
      <c r="E4" s="6"/>
      <c r="F4" s="53"/>
      <c r="G4" s="90"/>
      <c r="H4" s="53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Adicionar Controle</vt:lpstr>
      <vt:lpstr>A receber</vt:lpstr>
      <vt:lpstr>Calcular Receitas</vt:lpstr>
      <vt:lpstr>Material</vt:lpstr>
      <vt:lpstr>Receita</vt:lpstr>
      <vt:lpstr>Produto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Kawamura</dc:creator>
  <cp:lastModifiedBy>Kawamura</cp:lastModifiedBy>
  <dcterms:created xsi:type="dcterms:W3CDTF">2022-08-22T02:03:19Z</dcterms:created>
  <dcterms:modified xsi:type="dcterms:W3CDTF">2022-08-24T01:35:01Z</dcterms:modified>
</cp:coreProperties>
</file>